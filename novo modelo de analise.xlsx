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yson\Desktop\BOT ANALISE DE CREDITO\"/>
    </mc:Choice>
  </mc:AlternateContent>
  <xr:revisionPtr revIDLastSave="0" documentId="13_ncr:1_{DA9258B3-72DA-421C-B209-01043E9C0E08}" xr6:coauthVersionLast="47" xr6:coauthVersionMax="47" xr10:uidLastSave="{00000000-0000-0000-0000-000000000000}"/>
  <bookViews>
    <workbookView xWindow="28680" yWindow="-120" windowWidth="29040" windowHeight="15720" tabRatio="878" firstSheet="7" activeTab="19" xr2:uid="{00000000-000D-0000-FFFF-FFFF00000000}"/>
  </bookViews>
  <sheets>
    <sheet name="CAPA" sheetId="1" r:id="rId1"/>
    <sheet name="RELATÓRIO DE VISITAS" sheetId="2" r:id="rId2"/>
    <sheet name="PROPOSTA" sheetId="3" r:id="rId3"/>
    <sheet name="DADOS EMPRESA" sheetId="4" r:id="rId4"/>
    <sheet name="FACHADA" sheetId="5" r:id="rId5"/>
    <sheet name="SATELITE" sheetId="21" r:id="rId6"/>
    <sheet name="FOTOS" sheetId="6" state="hidden" r:id="rId7"/>
    <sheet name="ORGANOGRAMA" sheetId="7" r:id="rId8"/>
    <sheet name="ESTRUTURA SOCIETÁRIA" sheetId="8" r:id="rId9"/>
    <sheet name="PATRIMONIO" sheetId="9" r:id="rId10"/>
    <sheet name="RESTRITIVOS" sheetId="10" r:id="rId11"/>
    <sheet name="FAT" sheetId="11" r:id="rId12"/>
    <sheet name="POTENCIAL" sheetId="12" r:id="rId13"/>
    <sheet name="ENDIV GERAL" sheetId="13" r:id="rId14"/>
    <sheet name="INSTITUIÇÕES" sheetId="14" r:id="rId15"/>
    <sheet name="REFS FUNDOS (4)" sheetId="19" r:id="rId16"/>
    <sheet name="JURIDICO (5)" sheetId="16" r:id="rId17"/>
    <sheet name="JURIDICO IA" sheetId="20" r:id="rId18"/>
    <sheet name="NOTICIAS" sheetId="17" r:id="rId19"/>
    <sheet name="PARECER" sheetId="18" r:id="rId20"/>
  </sheets>
  <definedNames>
    <definedName name="_xlnm.Print_Area" localSheetId="0">CAPA!$A$1:$O$29</definedName>
    <definedName name="_xlnm.Print_Area" localSheetId="3">'DADOS EMPRESA'!$A$1:$F$17</definedName>
    <definedName name="_xlnm.Print_Area" localSheetId="13">'ENDIV GERAL'!$A$1:$H$24</definedName>
    <definedName name="_xlnm.Print_Area" localSheetId="8">'ESTRUTURA SOCIETÁRIA'!$A$1:$F$19</definedName>
    <definedName name="_xlnm.Print_Area" localSheetId="4">FACHADA!$A$1:$F$24</definedName>
    <definedName name="_xlnm.Print_Area" localSheetId="11">FAT!$A$1:$J$25</definedName>
    <definedName name="_xlnm.Print_Area" localSheetId="6">FOTOS!$A$1:$F$23</definedName>
    <definedName name="_xlnm.Print_Area" localSheetId="14">INSTITUIÇÕES!$A$1:$I$44</definedName>
    <definedName name="_xlnm.Print_Area" localSheetId="16">'JURIDICO (5)'!$A$1:$C$25</definedName>
    <definedName name="_xlnm.Print_Area" localSheetId="17">'JURIDICO IA'!$A$1:$C$38</definedName>
    <definedName name="_xlnm.Print_Area" localSheetId="18">NOTICIAS!$A$1:$C$33</definedName>
    <definedName name="_xlnm.Print_Area" localSheetId="7">ORGANOGRAMA!$A$1:$F$23</definedName>
    <definedName name="_xlnm.Print_Area" localSheetId="19">PARECER!$A$1:$D$25</definedName>
    <definedName name="_xlnm.Print_Area" localSheetId="9">PATRIMONIO!$A$1:$D$14</definedName>
    <definedName name="_xlnm.Print_Area" localSheetId="12">POTENCIAL!$A$1:$G$23</definedName>
    <definedName name="_xlnm.Print_Area" localSheetId="2">PROPOSTA!$A$1:$H$27</definedName>
    <definedName name="_xlnm.Print_Area" localSheetId="15">'REFS FUNDOS (4)'!$A$1:$E$22</definedName>
    <definedName name="_xlnm.Print_Area" localSheetId="1">'RELATÓRIO DE VISITAS'!$A$1:$F$23</definedName>
    <definedName name="_xlnm.Print_Area" localSheetId="10">RESTRITIVOS!$A$1:$H$12</definedName>
    <definedName name="_xlnm.Print_Area" localSheetId="5">SATELITE!$A$1:$F$24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1" l="1"/>
  <c r="A1" i="20"/>
  <c r="C8" i="11"/>
  <c r="C9" i="11"/>
  <c r="C10" i="11"/>
  <c r="C11" i="11"/>
  <c r="C12" i="11"/>
  <c r="C13" i="11"/>
  <c r="C14" i="11"/>
  <c r="C15" i="11"/>
  <c r="C16" i="11"/>
  <c r="C17" i="11"/>
  <c r="B4" i="3"/>
  <c r="A1" i="19"/>
  <c r="H20" i="11" l="1"/>
  <c r="E20" i="11"/>
  <c r="B20" i="11"/>
  <c r="C20" i="11" s="1"/>
  <c r="C18" i="11" s="1"/>
  <c r="A12" i="18" a="1"/>
  <c r="A12" i="18" s="1"/>
  <c r="A1" i="18"/>
  <c r="A1" i="17"/>
  <c r="A1" i="16"/>
  <c r="A1" i="14"/>
  <c r="A1" i="13"/>
  <c r="A1" i="12"/>
  <c r="A1" i="11"/>
  <c r="A1" i="10"/>
  <c r="A1" i="9"/>
  <c r="A1" i="8"/>
  <c r="A1" i="7"/>
  <c r="A1" i="6"/>
  <c r="A1" i="5"/>
  <c r="A1" i="4"/>
  <c r="A1" i="3"/>
  <c r="A1" i="2"/>
  <c r="B14" i="13"/>
  <c r="C8" i="13" s="1"/>
  <c r="C27" i="14"/>
  <c r="C6" i="13"/>
  <c r="F20" i="11"/>
  <c r="H19" i="11"/>
  <c r="E19" i="11"/>
  <c r="F19" i="11" s="1"/>
  <c r="B19" i="11"/>
  <c r="B21" i="11" s="1"/>
  <c r="H18" i="11"/>
  <c r="E18" i="11"/>
  <c r="F18" i="11" s="1"/>
  <c r="B18" i="11"/>
  <c r="F17" i="11"/>
  <c r="F16" i="11"/>
  <c r="F15" i="11"/>
  <c r="F14" i="11"/>
  <c r="F13" i="11"/>
  <c r="F12" i="11"/>
  <c r="F11" i="11"/>
  <c r="F10" i="11"/>
  <c r="F9" i="11"/>
  <c r="F8" i="11"/>
  <c r="F7" i="11"/>
  <c r="C7" i="11"/>
  <c r="F6" i="11"/>
  <c r="C6" i="11"/>
  <c r="D7" i="10"/>
  <c r="C7" i="10"/>
  <c r="B8" i="9"/>
  <c r="B4" i="4"/>
  <c r="C6" i="4" s="1"/>
  <c r="B15" i="3"/>
  <c r="B17" i="13" l="1"/>
  <c r="A6" i="13"/>
  <c r="E6" i="13" s="1"/>
  <c r="A8" i="13"/>
  <c r="B9" i="12"/>
  <c r="B5" i="12" l="1"/>
  <c r="B6" i="12"/>
  <c r="B7" i="12"/>
  <c r="D6" i="13"/>
  <c r="B12" i="13"/>
  <c r="B6" i="13"/>
  <c r="D5" i="12" l="1"/>
  <c r="D8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<sst xmlns="http://schemas.openxmlformats.org/spreadsheetml/2006/main" count="185" uniqueCount="149">
  <si>
    <t>Apresentação de Crédito</t>
  </si>
  <si>
    <t>RELATÓRIO DE VISITAS</t>
  </si>
  <si>
    <t xml:space="preserve">Razão Social:        </t>
  </si>
  <si>
    <t xml:space="preserve">Relacionamento: </t>
  </si>
  <si>
    <t>Prospect</t>
  </si>
  <si>
    <t xml:space="preserve">Gerente| Plataforma: </t>
  </si>
  <si>
    <t>Luiz</t>
  </si>
  <si>
    <t xml:space="preserve">Analista: </t>
  </si>
  <si>
    <t>Alyson</t>
  </si>
  <si>
    <t>PROPOSTA</t>
  </si>
  <si>
    <t>Modalidade</t>
  </si>
  <si>
    <t>Limite</t>
  </si>
  <si>
    <t>Prazo Médio</t>
  </si>
  <si>
    <t>Tranche</t>
  </si>
  <si>
    <t>-</t>
  </si>
  <si>
    <t>Limite Total</t>
  </si>
  <si>
    <t>Data Análise</t>
  </si>
  <si>
    <t>DADOS GERAIS</t>
  </si>
  <si>
    <t>Fundação:</t>
  </si>
  <si>
    <t xml:space="preserve"> anos</t>
  </si>
  <si>
    <t>Capital Social:</t>
  </si>
  <si>
    <t>Unidades | Localização:</t>
  </si>
  <si>
    <t>Matriz:</t>
  </si>
  <si>
    <t>Ramo de atividade:</t>
  </si>
  <si>
    <t>Licenças| Certificações:</t>
  </si>
  <si>
    <t>Não Informado</t>
  </si>
  <si>
    <t>Balanço auditado:</t>
  </si>
  <si>
    <t>Não</t>
  </si>
  <si>
    <t>Consultoria|Gestão:</t>
  </si>
  <si>
    <t>Site:</t>
  </si>
  <si>
    <t>Não possui</t>
  </si>
  <si>
    <t>FOTO DA EMPRESA (GOOGLE MAPS) FACHADA</t>
  </si>
  <si>
    <t>FOTOS DA VISITA</t>
  </si>
  <si>
    <t>ORGANOGRAMA</t>
  </si>
  <si>
    <t>ESTRUTURA SOCIETÁRIA</t>
  </si>
  <si>
    <t>Sócios | Diretores</t>
  </si>
  <si>
    <t>%</t>
  </si>
  <si>
    <t>Função | Cargo</t>
  </si>
  <si>
    <t>Figura no Contrato</t>
  </si>
  <si>
    <t>Sócio</t>
  </si>
  <si>
    <t xml:space="preserve">Sim </t>
  </si>
  <si>
    <t>Assinatura:</t>
  </si>
  <si>
    <t xml:space="preserve">(    ) em conjunto </t>
  </si>
  <si>
    <t xml:space="preserve"> (x) isolada     </t>
  </si>
  <si>
    <t>Aval:</t>
  </si>
  <si>
    <t>ALTERAÇÕES CONTRATUAIS RELEVANTES</t>
  </si>
  <si>
    <t>PATRIMONIO DOS SÓCIOS - IRPF 2024/2025</t>
  </si>
  <si>
    <t>Sócio:</t>
  </si>
  <si>
    <t>Bens</t>
  </si>
  <si>
    <t>Valor arrestável R$:</t>
  </si>
  <si>
    <t>Total</t>
  </si>
  <si>
    <t>RESTRITIVOS</t>
  </si>
  <si>
    <t>Empresa/ Sócio</t>
  </si>
  <si>
    <t>Restritivo</t>
  </si>
  <si>
    <t>Qntd</t>
  </si>
  <si>
    <t>Valor</t>
  </si>
  <si>
    <t>Data</t>
  </si>
  <si>
    <t>Observação</t>
  </si>
  <si>
    <t>Totais</t>
  </si>
  <si>
    <t>FATURAMENTO CONSOLIDADO</t>
  </si>
  <si>
    <t>∆ %</t>
  </si>
  <si>
    <t>TOTAL</t>
  </si>
  <si>
    <t>MÉDIA</t>
  </si>
  <si>
    <t>MÉDIA ATÉ AGO</t>
  </si>
  <si>
    <t>M. INTERNO:</t>
  </si>
  <si>
    <t>EXP:</t>
  </si>
  <si>
    <t>PAÍSES:</t>
  </si>
  <si>
    <t>POTENCIAL DE NEGÓCIOS</t>
  </si>
  <si>
    <t>Duplicatas disponíveis para desconto:</t>
  </si>
  <si>
    <t>Duplicatas disponíveis para comissária:</t>
  </si>
  <si>
    <t>Duplicatas disponíveis para Intercompany:</t>
  </si>
  <si>
    <t>Potencial real
(Vendas a prazo)</t>
  </si>
  <si>
    <t>Faturamento médio M. Interno:</t>
  </si>
  <si>
    <t>Obs:</t>
  </si>
  <si>
    <t>Obs: Segundo informações do financeiro em visita na Gávea com Cássio e Fábio: (60% no Atacado e 40% e-commerce). Do atacado 95% paga terceiros. Havan fatura em torno de R$14MM que pode fazer escrow.</t>
  </si>
  <si>
    <t>Forma do Recebimento:</t>
  </si>
  <si>
    <t>à vista</t>
  </si>
  <si>
    <t>a prazo</t>
  </si>
  <si>
    <t>Composição do Recebimento:</t>
  </si>
  <si>
    <t>Duplicatas</t>
  </si>
  <si>
    <t>Comissária</t>
  </si>
  <si>
    <t>Intercompany</t>
  </si>
  <si>
    <t>Outros</t>
  </si>
  <si>
    <t>Ticket Médio:</t>
  </si>
  <si>
    <t>Prazo Médio de Vendas Dpls:</t>
  </si>
  <si>
    <t>dias</t>
  </si>
  <si>
    <t>Prazo Médio de Vendas Comissária:</t>
  </si>
  <si>
    <t>Prazo Médio de Vendas Intercompany:</t>
  </si>
  <si>
    <t>ENDIVIDAMENTO BANCOS E FUNDOS</t>
  </si>
  <si>
    <t>CURTO PRAZO</t>
  </si>
  <si>
    <t>(%)</t>
  </si>
  <si>
    <t>LONGO PRAZO</t>
  </si>
  <si>
    <t>CURTO PRAZO DPLS</t>
  </si>
  <si>
    <t>FUNDOS</t>
  </si>
  <si>
    <t>BANCOS</t>
  </si>
  <si>
    <t>RENEGOCIANDO?</t>
  </si>
  <si>
    <t>() Sim      (x) Não</t>
  </si>
  <si>
    <t>X Faturamento mês</t>
  </si>
  <si>
    <t>PELO CEDENTE 01/2025</t>
  </si>
  <si>
    <t>POR CONSULTA 01/2025</t>
  </si>
  <si>
    <t>LIQ BANCOS E FUNDOS (%)</t>
  </si>
  <si>
    <t>BANCO E FUNDO</t>
  </si>
  <si>
    <t xml:space="preserve">ENDIVIDAMENTO COM BANCOS </t>
  </si>
  <si>
    <t>PELO CEDENTE:</t>
  </si>
  <si>
    <t>MODALIDADE</t>
  </si>
  <si>
    <t>RISCO</t>
  </si>
  <si>
    <t>LIQ (%)</t>
  </si>
  <si>
    <t>VOP</t>
  </si>
  <si>
    <t>PESQUISAS E NOTÍCIAS DE MÍDIA (EMPRESA|SÓCIOS E COLIGADAS)</t>
  </si>
  <si>
    <t xml:space="preserve">PARECER DO ANALISTA      </t>
  </si>
  <si>
    <t>DATA: 01/10/2025</t>
  </si>
  <si>
    <t xml:space="preserve">ANALISTA </t>
  </si>
  <si>
    <t>CNPJ:</t>
  </si>
  <si>
    <t>Taxa</t>
  </si>
  <si>
    <t>Garantia</t>
  </si>
  <si>
    <t>Rating - A - Risco reduzido</t>
  </si>
  <si>
    <t>Rating - B - Risco médio</t>
  </si>
  <si>
    <t>Rating - C - Risco elevado</t>
  </si>
  <si>
    <t>Rating - D - Fora do perfil</t>
  </si>
  <si>
    <t xml:space="preserve">RATING - </t>
  </si>
  <si>
    <t>Não possui bens arrestáveis</t>
  </si>
  <si>
    <t>Nada consta para as empresas e sócios</t>
  </si>
  <si>
    <t>RW4</t>
  </si>
  <si>
    <t>Capitale</t>
  </si>
  <si>
    <t>INFORMAÇÕES COM FUNDOS</t>
  </si>
  <si>
    <t>FUNDO</t>
  </si>
  <si>
    <t>Cliente desde:</t>
  </si>
  <si>
    <t>Última operação:</t>
  </si>
  <si>
    <t>Limite global:</t>
  </si>
  <si>
    <t>Risco total:</t>
  </si>
  <si>
    <t>Risco 1 (R$):</t>
  </si>
  <si>
    <t>Operação:</t>
  </si>
  <si>
    <t>Vcto dpls:</t>
  </si>
  <si>
    <t>Liq até 5 dias:</t>
  </si>
  <si>
    <t>Liquidez pontual:</t>
  </si>
  <si>
    <t>Atraso até 5 dias:</t>
  </si>
  <si>
    <t>Atraso até 15 dias:</t>
  </si>
  <si>
    <t>Cartório:</t>
  </si>
  <si>
    <t>Recompra:</t>
  </si>
  <si>
    <t>Período Liquidez:</t>
  </si>
  <si>
    <t>Vop:</t>
  </si>
  <si>
    <t>Período vop:</t>
  </si>
  <si>
    <t>Concentração (%):</t>
  </si>
  <si>
    <t>Desconto fundos</t>
  </si>
  <si>
    <t>SCR a vencer</t>
  </si>
  <si>
    <t>Nada consta</t>
  </si>
  <si>
    <t>PESQUISAS DE AÇÕES|JURÍDICO              DATA: 18/11/2025</t>
  </si>
  <si>
    <t>INSTITUIÇÃO</t>
  </si>
  <si>
    <t>Parecer do Diretor Comercial: De acordo com o analista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</si>
</sst>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&quot;\ #,##0.00"/>
    <numFmt numFmtId="165" formatCode="&quot;R$&quot;\ #,##0"/>
    <numFmt numFmtId="166" formatCode="0.0"/>
    <numFmt numFmtId="167" formatCode="#,##0.0_ ;[Red]\-#,##0.0\ 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3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36"/>
      <color theme="1"/>
      <name val="Aptos Display"/>
      <family val="2"/>
      <scheme val="major"/>
    </font>
    <font>
      <sz val="24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4"/>
      <color theme="0"/>
      <name val="Calibri"/>
      <family val="2"/>
    </font>
    <font>
      <b/>
      <sz val="15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6"/>
      <color rgb="FFFFFFFF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b/>
      <sz val="15"/>
      <color rgb="FFFFFFFF"/>
      <name val="Calibri"/>
      <family val="2"/>
    </font>
    <font>
      <b/>
      <sz val="14"/>
      <color rgb="FF000000"/>
      <name val="Calibri"/>
      <family val="2"/>
    </font>
    <font>
      <b/>
      <sz val="16"/>
      <color theme="0"/>
      <name val="Calibri"/>
      <family val="2"/>
    </font>
    <font>
      <sz val="1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6"/>
      <color theme="0"/>
      <name val="Calibri"/>
      <family val="2"/>
    </font>
    <font>
      <sz val="14"/>
      <name val="Aptos Narrow"/>
      <family val="2"/>
      <scheme val="minor"/>
    </font>
    <font>
      <b/>
      <u/>
      <sz val="14"/>
      <color rgb="FF000000"/>
      <name val="Calibri"/>
      <family val="2"/>
    </font>
    <font>
      <b/>
      <u/>
      <sz val="14"/>
      <color rgb="FF00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B77A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57">
    <border>
      <left/>
      <right/>
      <top/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theme="0"/>
      </bottom>
      <diagonal/>
    </border>
    <border>
      <left/>
      <right style="medium">
        <color rgb="FFFFFFFF"/>
      </right>
      <top style="medium">
        <color rgb="FFFFFFFF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medium">
        <color rgb="FFFFFFFF"/>
      </left>
      <right/>
      <top style="thick">
        <color rgb="FFFFFFFF"/>
      </top>
      <bottom/>
      <diagonal/>
    </border>
    <border>
      <left style="medium">
        <color rgb="FFFFFFFF"/>
      </left>
      <right/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medium">
        <color rgb="FFFFFFFF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rgb="FFFFFFFF"/>
      </left>
      <right/>
      <top style="thick">
        <color rgb="FFFFFFFF"/>
      </top>
      <bottom style="medium">
        <color theme="0"/>
      </bottom>
      <diagonal/>
    </border>
    <border>
      <left/>
      <right/>
      <top style="thick">
        <color rgb="FFFFFFFF"/>
      </top>
      <bottom style="medium">
        <color theme="0"/>
      </bottom>
      <diagonal/>
    </border>
    <border>
      <left/>
      <right/>
      <top/>
      <bottom style="medium">
        <color rgb="FFFFFFFF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theme="0"/>
      </top>
      <bottom style="thin">
        <color theme="0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</borders>
  <cellStyleXfs count="5">
    <xf numFmtId="0" fontId="0" fillId="0" borderId="0"/>
    <xf numFmtId="44" fontId="1" fillId="0" borderId="0"/>
    <xf numFmtId="9" fontId="1" fillId="0" borderId="0"/>
    <xf numFmtId="0" fontId="16" fillId="0" borderId="0"/>
    <xf numFmtId="9" fontId="1" fillId="0" borderId="0" applyFont="0" applyFill="0" applyBorder="0" applyAlignment="0" applyProtection="0"/>
  </cellStyleXfs>
  <cellXfs count="271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 readingOrder="1"/>
    </xf>
    <xf numFmtId="0" fontId="3" fillId="4" borderId="3" xfId="0" applyFont="1" applyFill="1" applyBorder="1" applyAlignment="1">
      <alignment horizontal="center" vertical="center" wrapText="1" readingOrder="1"/>
    </xf>
    <xf numFmtId="44" fontId="3" fillId="4" borderId="4" xfId="1" applyFont="1" applyFill="1" applyBorder="1" applyAlignment="1">
      <alignment horizontal="center" vertical="center" wrapText="1" readingOrder="1"/>
    </xf>
    <xf numFmtId="164" fontId="3" fillId="4" borderId="3" xfId="0" applyNumberFormat="1" applyFont="1" applyFill="1" applyBorder="1" applyAlignment="1">
      <alignment horizontal="center" vertical="center" readingOrder="1"/>
    </xf>
    <xf numFmtId="165" fontId="3" fillId="4" borderId="4" xfId="0" applyNumberFormat="1" applyFont="1" applyFill="1" applyBorder="1" applyAlignment="1">
      <alignment horizontal="center" vertical="center" wrapText="1" readingOrder="1"/>
    </xf>
    <xf numFmtId="0" fontId="7" fillId="5" borderId="3" xfId="0" applyFont="1" applyFill="1" applyBorder="1" applyAlignment="1">
      <alignment horizontal="center" vertical="center" wrapText="1" readingOrder="1"/>
    </xf>
    <xf numFmtId="44" fontId="6" fillId="5" borderId="4" xfId="1" applyFont="1" applyFill="1" applyBorder="1" applyAlignment="1">
      <alignment horizontal="center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0" fontId="8" fillId="0" borderId="0" xfId="0" applyFont="1"/>
    <xf numFmtId="166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vertical="center" indent="6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7" borderId="0" xfId="0" applyFill="1"/>
    <xf numFmtId="0" fontId="14" fillId="5" borderId="8" xfId="0" applyFont="1" applyFill="1" applyBorder="1" applyAlignment="1">
      <alignment horizontal="left" vertical="center" wrapText="1" indent="1" readingOrder="1"/>
    </xf>
    <xf numFmtId="14" fontId="15" fillId="5" borderId="8" xfId="0" applyNumberFormat="1" applyFont="1" applyFill="1" applyBorder="1" applyAlignment="1">
      <alignment horizontal="left" vertical="center" wrapText="1" readingOrder="1"/>
    </xf>
    <xf numFmtId="1" fontId="15" fillId="5" borderId="9" xfId="0" applyNumberFormat="1" applyFont="1" applyFill="1" applyBorder="1" applyAlignment="1">
      <alignment horizontal="right" vertical="center" wrapText="1" readingOrder="1"/>
    </xf>
    <xf numFmtId="1" fontId="15" fillId="5" borderId="10" xfId="0" applyNumberFormat="1" applyFont="1" applyFill="1" applyBorder="1" applyAlignment="1">
      <alignment horizontal="left" vertical="center" wrapText="1" readingOrder="1"/>
    </xf>
    <xf numFmtId="0" fontId="14" fillId="8" borderId="8" xfId="0" applyFont="1" applyFill="1" applyBorder="1" applyAlignment="1">
      <alignment horizontal="left" vertical="center" wrapText="1" indent="1" readingOrder="1"/>
    </xf>
    <xf numFmtId="6" fontId="15" fillId="8" borderId="8" xfId="0" applyNumberFormat="1" applyFont="1" applyFill="1" applyBorder="1" applyAlignment="1">
      <alignment horizontal="left" vertical="center" wrapText="1" readingOrder="1"/>
    </xf>
    <xf numFmtId="0" fontId="14" fillId="5" borderId="8" xfId="0" applyFont="1" applyFill="1" applyBorder="1" applyAlignment="1">
      <alignment horizontal="left" vertical="center" wrapText="1" readingOrder="1"/>
    </xf>
    <xf numFmtId="49" fontId="15" fillId="5" borderId="9" xfId="0" applyNumberFormat="1" applyFont="1" applyFill="1" applyBorder="1" applyAlignment="1">
      <alignment vertical="center" wrapText="1" readingOrder="1"/>
    </xf>
    <xf numFmtId="0" fontId="18" fillId="4" borderId="13" xfId="0" applyFont="1" applyFill="1" applyBorder="1" applyAlignment="1">
      <alignment horizontal="left" vertical="center" wrapText="1" indent="1" readingOrder="1"/>
    </xf>
    <xf numFmtId="14" fontId="18" fillId="4" borderId="13" xfId="0" applyNumberFormat="1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44" fontId="3" fillId="0" borderId="4" xfId="1" applyFont="1" applyBorder="1" applyAlignment="1">
      <alignment horizontal="center" vertical="center" wrapText="1" readingOrder="1"/>
    </xf>
    <xf numFmtId="164" fontId="3" fillId="0" borderId="3" xfId="0" applyNumberFormat="1" applyFont="1" applyBorder="1" applyAlignment="1">
      <alignment horizontal="center" vertical="center" readingOrder="1"/>
    </xf>
    <xf numFmtId="165" fontId="3" fillId="0" borderId="4" xfId="0" applyNumberFormat="1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44" fontId="6" fillId="0" borderId="4" xfId="1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44" fontId="6" fillId="0" borderId="5" xfId="1" applyFont="1" applyBorder="1" applyAlignment="1">
      <alignment horizontal="center" vertical="center" wrapText="1" readingOrder="1"/>
    </xf>
    <xf numFmtId="0" fontId="14" fillId="5" borderId="8" xfId="0" applyFont="1" applyFill="1" applyBorder="1" applyAlignment="1">
      <alignment horizontal="center" vertical="center" readingOrder="1"/>
    </xf>
    <xf numFmtId="0" fontId="15" fillId="8" borderId="16" xfId="0" applyFont="1" applyFill="1" applyBorder="1" applyAlignment="1">
      <alignment horizontal="center" vertical="center" readingOrder="1"/>
    </xf>
    <xf numFmtId="10" fontId="15" fillId="8" borderId="16" xfId="0" applyNumberFormat="1" applyFont="1" applyFill="1" applyBorder="1" applyAlignment="1">
      <alignment horizontal="center" vertical="center" readingOrder="1"/>
    </xf>
    <xf numFmtId="14" fontId="15" fillId="8" borderId="16" xfId="0" applyNumberFormat="1" applyFont="1" applyFill="1" applyBorder="1" applyAlignment="1">
      <alignment horizontal="center" vertical="center" readingOrder="1"/>
    </xf>
    <xf numFmtId="0" fontId="14" fillId="8" borderId="9" xfId="0" applyFont="1" applyFill="1" applyBorder="1" applyAlignment="1">
      <alignment horizontal="left" vertical="center" readingOrder="1"/>
    </xf>
    <xf numFmtId="0" fontId="10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readingOrder="1"/>
    </xf>
    <xf numFmtId="0" fontId="15" fillId="0" borderId="0" xfId="0" applyFont="1" applyAlignment="1">
      <alignment horizontal="center" vertical="center" readingOrder="1"/>
    </xf>
    <xf numFmtId="0" fontId="15" fillId="0" borderId="0" xfId="0" applyFont="1" applyAlignment="1">
      <alignment horizontal="left" vertical="center" readingOrder="1"/>
    </xf>
    <xf numFmtId="0" fontId="18" fillId="0" borderId="0" xfId="0" applyFont="1" applyAlignment="1">
      <alignment horizontal="center" vertical="center" readingOrder="1"/>
    </xf>
    <xf numFmtId="0" fontId="15" fillId="8" borderId="17" xfId="0" applyFont="1" applyFill="1" applyBorder="1" applyAlignment="1">
      <alignment vertical="center" readingOrder="1"/>
    </xf>
    <xf numFmtId="0" fontId="15" fillId="0" borderId="12" xfId="0" applyFont="1" applyBorder="1" applyAlignment="1">
      <alignment horizontal="center" vertical="center" readingOrder="1"/>
    </xf>
    <xf numFmtId="10" fontId="15" fillId="0" borderId="0" xfId="0" applyNumberFormat="1" applyFont="1" applyAlignment="1">
      <alignment horizontal="center" vertical="center" readingOrder="1"/>
    </xf>
    <xf numFmtId="44" fontId="15" fillId="8" borderId="16" xfId="1" applyFont="1" applyFill="1" applyBorder="1" applyAlignment="1">
      <alignment horizontal="center" vertical="center" readingOrder="1"/>
    </xf>
    <xf numFmtId="0" fontId="14" fillId="8" borderId="16" xfId="0" applyFont="1" applyFill="1" applyBorder="1" applyAlignment="1">
      <alignment horizontal="right" vertical="center" readingOrder="1"/>
    </xf>
    <xf numFmtId="0" fontId="4" fillId="7" borderId="0" xfId="0" applyFont="1" applyFill="1" applyAlignment="1">
      <alignment horizontal="left" vertical="center"/>
    </xf>
    <xf numFmtId="6" fontId="3" fillId="7" borderId="0" xfId="0" applyNumberFormat="1" applyFont="1" applyFill="1" applyAlignment="1">
      <alignment horizontal="center" vertical="center" wrapText="1" readingOrder="1"/>
    </xf>
    <xf numFmtId="164" fontId="0" fillId="0" borderId="0" xfId="0" applyNumberFormat="1"/>
    <xf numFmtId="6" fontId="19" fillId="9" borderId="8" xfId="0" applyNumberFormat="1" applyFont="1" applyFill="1" applyBorder="1" applyAlignment="1">
      <alignment horizontal="center" vertical="center" wrapText="1" readingOrder="1"/>
    </xf>
    <xf numFmtId="0" fontId="19" fillId="7" borderId="0" xfId="0" applyFont="1" applyFill="1" applyAlignment="1">
      <alignment horizontal="center" vertical="center" wrapText="1" readingOrder="1"/>
    </xf>
    <xf numFmtId="17" fontId="20" fillId="5" borderId="8" xfId="0" applyNumberFormat="1" applyFont="1" applyFill="1" applyBorder="1" applyAlignment="1">
      <alignment horizontal="center" vertical="center" wrapText="1" readingOrder="1"/>
    </xf>
    <xf numFmtId="165" fontId="21" fillId="5" borderId="8" xfId="0" applyNumberFormat="1" applyFont="1" applyFill="1" applyBorder="1" applyAlignment="1">
      <alignment horizontal="center" vertical="center" wrapText="1" readingOrder="1"/>
    </xf>
    <xf numFmtId="9" fontId="20" fillId="5" borderId="8" xfId="2" applyFont="1" applyFill="1" applyBorder="1" applyAlignment="1">
      <alignment horizontal="center" vertical="center" wrapText="1" readingOrder="1"/>
    </xf>
    <xf numFmtId="165" fontId="21" fillId="7" borderId="0" xfId="0" applyNumberFormat="1" applyFont="1" applyFill="1" applyAlignment="1">
      <alignment horizontal="center" vertical="center" wrapText="1" readingOrder="1"/>
    </xf>
    <xf numFmtId="17" fontId="20" fillId="8" borderId="8" xfId="0" applyNumberFormat="1" applyFont="1" applyFill="1" applyBorder="1" applyAlignment="1">
      <alignment horizontal="center" vertical="center" wrapText="1" readingOrder="1"/>
    </xf>
    <xf numFmtId="165" fontId="21" fillId="8" borderId="8" xfId="0" applyNumberFormat="1" applyFont="1" applyFill="1" applyBorder="1" applyAlignment="1">
      <alignment horizontal="center" vertical="center" wrapText="1" readingOrder="1"/>
    </xf>
    <xf numFmtId="9" fontId="20" fillId="8" borderId="8" xfId="2" applyFont="1" applyFill="1" applyBorder="1" applyAlignment="1">
      <alignment horizontal="center" vertical="center" wrapText="1" readingOrder="1"/>
    </xf>
    <xf numFmtId="17" fontId="2" fillId="9" borderId="8" xfId="0" applyNumberFormat="1" applyFont="1" applyFill="1" applyBorder="1" applyAlignment="1">
      <alignment horizontal="center" vertical="center" wrapText="1" readingOrder="1"/>
    </xf>
    <xf numFmtId="6" fontId="22" fillId="9" borderId="8" xfId="0" applyNumberFormat="1" applyFont="1" applyFill="1" applyBorder="1" applyAlignment="1">
      <alignment horizontal="center" vertical="center" wrapText="1" readingOrder="1"/>
    </xf>
    <xf numFmtId="9" fontId="2" fillId="9" borderId="8" xfId="2" applyFont="1" applyFill="1" applyBorder="1" applyAlignment="1">
      <alignment horizontal="center" vertical="center" wrapText="1" readingOrder="1"/>
    </xf>
    <xf numFmtId="6" fontId="22" fillId="7" borderId="0" xfId="0" applyNumberFormat="1" applyFont="1" applyFill="1" applyAlignment="1">
      <alignment horizontal="center" vertical="center" wrapText="1" readingOrder="1"/>
    </xf>
    <xf numFmtId="6" fontId="22" fillId="9" borderId="8" xfId="1" applyNumberFormat="1" applyFont="1" applyFill="1" applyBorder="1" applyAlignment="1">
      <alignment horizontal="center" vertical="center" wrapText="1" readingOrder="1"/>
    </xf>
    <xf numFmtId="6" fontId="22" fillId="7" borderId="0" xfId="1" applyNumberFormat="1" applyFont="1" applyFill="1" applyAlignment="1">
      <alignment horizontal="center" vertical="center" wrapText="1" readingOrder="1"/>
    </xf>
    <xf numFmtId="0" fontId="4" fillId="7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7" borderId="23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23" fillId="9" borderId="8" xfId="0" applyFont="1" applyFill="1" applyBorder="1" applyAlignment="1">
      <alignment horizontal="center" vertical="center" wrapText="1" readingOrder="1"/>
    </xf>
    <xf numFmtId="0" fontId="14" fillId="8" borderId="8" xfId="0" applyFont="1" applyFill="1" applyBorder="1" applyAlignment="1">
      <alignment horizontal="left" vertical="center" wrapText="1" readingOrder="1"/>
    </xf>
    <xf numFmtId="0" fontId="14" fillId="10" borderId="8" xfId="0" applyFont="1" applyFill="1" applyBorder="1" applyAlignment="1">
      <alignment horizontal="left" vertical="center" wrapText="1" readingOrder="1"/>
    </xf>
    <xf numFmtId="9" fontId="15" fillId="5" borderId="8" xfId="2" applyFont="1" applyFill="1" applyBorder="1" applyAlignment="1">
      <alignment vertical="center" wrapText="1" readingOrder="1"/>
    </xf>
    <xf numFmtId="0" fontId="15" fillId="5" borderId="8" xfId="0" applyFont="1" applyFill="1" applyBorder="1" applyAlignment="1">
      <alignment vertical="center" wrapText="1" readingOrder="1"/>
    </xf>
    <xf numFmtId="9" fontId="25" fillId="8" borderId="8" xfId="2" applyFont="1" applyFill="1" applyBorder="1" applyAlignment="1">
      <alignment horizontal="right" vertical="center" wrapText="1" readingOrder="1"/>
    </xf>
    <xf numFmtId="0" fontId="25" fillId="8" borderId="8" xfId="0" applyFont="1" applyFill="1" applyBorder="1" applyAlignment="1">
      <alignment vertical="center" wrapText="1" readingOrder="1"/>
    </xf>
    <xf numFmtId="9" fontId="25" fillId="8" borderId="8" xfId="2" applyFont="1" applyFill="1" applyBorder="1" applyAlignment="1">
      <alignment vertical="center" wrapText="1" readingOrder="1"/>
    </xf>
    <xf numFmtId="0" fontId="14" fillId="11" borderId="8" xfId="0" applyFont="1" applyFill="1" applyBorder="1" applyAlignment="1">
      <alignment horizontal="left" vertical="center" wrapText="1" readingOrder="1"/>
    </xf>
    <xf numFmtId="9" fontId="25" fillId="11" borderId="8" xfId="2" applyFont="1" applyFill="1" applyBorder="1" applyAlignment="1">
      <alignment horizontal="right" vertical="center" wrapText="1" readingOrder="1"/>
    </xf>
    <xf numFmtId="0" fontId="25" fillId="11" borderId="8" xfId="0" applyFont="1" applyFill="1" applyBorder="1" applyAlignment="1">
      <alignment vertical="center" wrapText="1" readingOrder="1"/>
    </xf>
    <xf numFmtId="9" fontId="25" fillId="11" borderId="8" xfId="2" applyFont="1" applyFill="1" applyBorder="1" applyAlignment="1">
      <alignment vertical="center" wrapText="1" readingOrder="1"/>
    </xf>
    <xf numFmtId="0" fontId="26" fillId="8" borderId="8" xfId="0" applyFont="1" applyFill="1" applyBorder="1" applyAlignment="1">
      <alignment horizontal="right" vertical="center" wrapText="1" readingOrder="1"/>
    </xf>
    <xf numFmtId="0" fontId="26" fillId="8" borderId="9" xfId="0" applyFont="1" applyFill="1" applyBorder="1" applyAlignment="1">
      <alignment vertical="center" wrapText="1" readingOrder="1"/>
    </xf>
    <xf numFmtId="0" fontId="24" fillId="8" borderId="11" xfId="0" applyFont="1" applyFill="1" applyBorder="1" applyAlignment="1">
      <alignment vertical="center" wrapText="1" readingOrder="1"/>
    </xf>
    <xf numFmtId="0" fontId="26" fillId="8" borderId="10" xfId="0" applyFont="1" applyFill="1" applyBorder="1" applyAlignment="1">
      <alignment vertical="center" wrapText="1" readingOrder="1"/>
    </xf>
    <xf numFmtId="0" fontId="26" fillId="8" borderId="9" xfId="0" applyFont="1" applyFill="1" applyBorder="1" applyAlignment="1">
      <alignment horizontal="left" vertical="center" wrapText="1" readingOrder="1"/>
    </xf>
    <xf numFmtId="0" fontId="24" fillId="8" borderId="11" xfId="0" applyFont="1" applyFill="1" applyBorder="1" applyAlignment="1">
      <alignment horizontal="left" vertical="center" wrapText="1" readingOrder="1"/>
    </xf>
    <xf numFmtId="0" fontId="26" fillId="11" borderId="8" xfId="0" applyFont="1" applyFill="1" applyBorder="1" applyAlignment="1">
      <alignment horizontal="right" vertical="center" wrapText="1" readingOrder="1"/>
    </xf>
    <xf numFmtId="0" fontId="26" fillId="11" borderId="9" xfId="0" applyFont="1" applyFill="1" applyBorder="1" applyAlignment="1">
      <alignment horizontal="left" vertical="center" wrapText="1" readingOrder="1"/>
    </xf>
    <xf numFmtId="0" fontId="24" fillId="11" borderId="11" xfId="0" applyFont="1" applyFill="1" applyBorder="1" applyAlignment="1">
      <alignment horizontal="left" vertical="center" wrapText="1" readingOrder="1"/>
    </xf>
    <xf numFmtId="0" fontId="26" fillId="11" borderId="10" xfId="0" applyFont="1" applyFill="1" applyBorder="1" applyAlignment="1">
      <alignment vertical="center" wrapText="1" readingOrder="1"/>
    </xf>
    <xf numFmtId="0" fontId="14" fillId="5" borderId="8" xfId="0" applyFont="1" applyFill="1" applyBorder="1" applyAlignment="1">
      <alignment horizontal="left" vertical="center" readingOrder="1"/>
    </xf>
    <xf numFmtId="0" fontId="14" fillId="5" borderId="31" xfId="0" applyFont="1" applyFill="1" applyBorder="1" applyAlignment="1">
      <alignment horizontal="center" vertical="center" wrapText="1" readingOrder="1"/>
    </xf>
    <xf numFmtId="165" fontId="27" fillId="8" borderId="31" xfId="0" applyNumberFormat="1" applyFont="1" applyFill="1" applyBorder="1" applyAlignment="1">
      <alignment horizontal="center" vertical="top" wrapText="1"/>
    </xf>
    <xf numFmtId="9" fontId="27" fillId="8" borderId="31" xfId="2" applyFont="1" applyFill="1" applyBorder="1" applyAlignment="1">
      <alignment horizontal="center" vertical="top" wrapText="1"/>
    </xf>
    <xf numFmtId="164" fontId="27" fillId="8" borderId="31" xfId="0" applyNumberFormat="1" applyFont="1" applyFill="1" applyBorder="1" applyAlignment="1">
      <alignment horizontal="center" vertical="top" wrapText="1"/>
    </xf>
    <xf numFmtId="0" fontId="14" fillId="5" borderId="31" xfId="0" applyFont="1" applyFill="1" applyBorder="1" applyAlignment="1">
      <alignment vertical="center" wrapText="1" readingOrder="1"/>
    </xf>
    <xf numFmtId="164" fontId="14" fillId="5" borderId="31" xfId="0" applyNumberFormat="1" applyFont="1" applyFill="1" applyBorder="1" applyAlignment="1">
      <alignment vertical="center" wrapText="1" readingOrder="1"/>
    </xf>
    <xf numFmtId="164" fontId="15" fillId="8" borderId="31" xfId="0" applyNumberFormat="1" applyFont="1" applyFill="1" applyBorder="1" applyAlignment="1">
      <alignment horizontal="right" vertical="center" wrapText="1" readingOrder="1"/>
    </xf>
    <xf numFmtId="167" fontId="15" fillId="8" borderId="31" xfId="0" applyNumberFormat="1" applyFont="1" applyFill="1" applyBorder="1" applyAlignment="1">
      <alignment horizontal="right" vertical="center" wrapText="1" readingOrder="1"/>
    </xf>
    <xf numFmtId="0" fontId="26" fillId="8" borderId="31" xfId="0" applyFont="1" applyFill="1" applyBorder="1" applyAlignment="1">
      <alignment vertical="center" wrapText="1" readingOrder="1"/>
    </xf>
    <xf numFmtId="0" fontId="23" fillId="9" borderId="31" xfId="0" applyFont="1" applyFill="1" applyBorder="1" applyAlignment="1">
      <alignment horizontal="center" vertical="center" wrapText="1" readingOrder="1"/>
    </xf>
    <xf numFmtId="4" fontId="23" fillId="9" borderId="31" xfId="0" applyNumberFormat="1" applyFont="1" applyFill="1" applyBorder="1" applyAlignment="1">
      <alignment horizontal="center" vertical="center" wrapText="1" readingOrder="1"/>
    </xf>
    <xf numFmtId="165" fontId="24" fillId="5" borderId="31" xfId="0" applyNumberFormat="1" applyFont="1" applyFill="1" applyBorder="1" applyAlignment="1">
      <alignment horizontal="center" vertical="center" wrapText="1" readingOrder="1"/>
    </xf>
    <xf numFmtId="9" fontId="24" fillId="5" borderId="31" xfId="2" applyFont="1" applyFill="1" applyBorder="1" applyAlignment="1">
      <alignment horizontal="center" vertical="center" wrapText="1" readingOrder="1"/>
    </xf>
    <xf numFmtId="0" fontId="28" fillId="5" borderId="3" xfId="0" applyFont="1" applyFill="1" applyBorder="1" applyAlignment="1">
      <alignment horizontal="center" vertical="center" wrapText="1" readingOrder="1"/>
    </xf>
    <xf numFmtId="164" fontId="28" fillId="5" borderId="3" xfId="0" applyNumberFormat="1" applyFont="1" applyFill="1" applyBorder="1" applyAlignment="1">
      <alignment horizontal="center" vertical="center" wrapText="1" readingOrder="1"/>
    </xf>
    <xf numFmtId="0" fontId="29" fillId="0" borderId="0" xfId="0" applyFont="1"/>
    <xf numFmtId="164" fontId="28" fillId="8" borderId="31" xfId="0" applyNumberFormat="1" applyFont="1" applyFill="1" applyBorder="1" applyAlignment="1">
      <alignment horizontal="center" vertical="center" wrapText="1" readingOrder="1"/>
    </xf>
    <xf numFmtId="0" fontId="28" fillId="5" borderId="4" xfId="0" applyFont="1" applyFill="1" applyBorder="1" applyAlignment="1">
      <alignment horizontal="center" vertical="center" wrapText="1" readingOrder="1"/>
    </xf>
    <xf numFmtId="164" fontId="28" fillId="5" borderId="4" xfId="0" applyNumberFormat="1" applyFont="1" applyFill="1" applyBorder="1" applyAlignment="1">
      <alignment horizontal="center" vertical="center" wrapText="1" readingOrder="1"/>
    </xf>
    <xf numFmtId="164" fontId="23" fillId="9" borderId="31" xfId="1" applyNumberFormat="1" applyFont="1" applyFill="1" applyBorder="1" applyAlignment="1">
      <alignment horizontal="center" vertical="center" wrapText="1" readingOrder="1"/>
    </xf>
    <xf numFmtId="0" fontId="23" fillId="9" borderId="35" xfId="0" applyFont="1" applyFill="1" applyBorder="1" applyAlignment="1">
      <alignment horizontal="center" vertical="center" wrapText="1" readingOrder="1"/>
    </xf>
    <xf numFmtId="0" fontId="23" fillId="9" borderId="36" xfId="0" applyFont="1" applyFill="1" applyBorder="1" applyAlignment="1">
      <alignment horizontal="center" vertical="center" wrapText="1" readingOrder="1"/>
    </xf>
    <xf numFmtId="0" fontId="23" fillId="9" borderId="37" xfId="0" applyFont="1" applyFill="1" applyBorder="1" applyAlignment="1">
      <alignment horizontal="center" vertical="center" wrapText="1"/>
    </xf>
    <xf numFmtId="10" fontId="23" fillId="9" borderId="36" xfId="2" applyNumberFormat="1" applyFont="1" applyFill="1" applyBorder="1" applyAlignment="1">
      <alignment horizontal="center" vertical="center" wrapText="1" readingOrder="1"/>
    </xf>
    <xf numFmtId="4" fontId="23" fillId="9" borderId="10" xfId="0" applyNumberFormat="1" applyFont="1" applyFill="1" applyBorder="1" applyAlignment="1">
      <alignment horizontal="center" vertical="center" wrapText="1" readingOrder="1"/>
    </xf>
    <xf numFmtId="0" fontId="20" fillId="0" borderId="0" xfId="0" applyFont="1"/>
    <xf numFmtId="0" fontId="15" fillId="8" borderId="38" xfId="0" applyFont="1" applyFill="1" applyBorder="1" applyAlignment="1">
      <alignment horizontal="center" vertical="center" wrapText="1" readingOrder="1"/>
    </xf>
    <xf numFmtId="0" fontId="15" fillId="8" borderId="39" xfId="0" applyFont="1" applyFill="1" applyBorder="1" applyAlignment="1">
      <alignment horizontal="center" vertical="center" wrapText="1" readingOrder="1"/>
    </xf>
    <xf numFmtId="165" fontId="15" fillId="8" borderId="40" xfId="0" applyNumberFormat="1" applyFont="1" applyFill="1" applyBorder="1" applyAlignment="1">
      <alignment horizontal="center" vertical="center" wrapText="1" readingOrder="1"/>
    </xf>
    <xf numFmtId="0" fontId="15" fillId="8" borderId="40" xfId="0" applyFont="1" applyFill="1" applyBorder="1" applyAlignment="1">
      <alignment horizontal="center" vertical="center" wrapText="1" readingOrder="1"/>
    </xf>
    <xf numFmtId="0" fontId="15" fillId="8" borderId="26" xfId="0" applyFont="1" applyFill="1" applyBorder="1" applyAlignment="1">
      <alignment horizontal="center" vertical="center" wrapText="1" readingOrder="1"/>
    </xf>
    <xf numFmtId="0" fontId="23" fillId="9" borderId="41" xfId="0" applyFont="1" applyFill="1" applyBorder="1" applyAlignment="1">
      <alignment horizontal="center" vertical="center" wrapText="1" readingOrder="1"/>
    </xf>
    <xf numFmtId="164" fontId="23" fillId="9" borderId="42" xfId="0" applyNumberFormat="1" applyFont="1" applyFill="1" applyBorder="1" applyAlignment="1">
      <alignment horizontal="center" vertical="center" wrapText="1" readingOrder="1"/>
    </xf>
    <xf numFmtId="165" fontId="30" fillId="9" borderId="30" xfId="0" applyNumberFormat="1" applyFont="1" applyFill="1" applyBorder="1" applyAlignment="1">
      <alignment horizontal="center" vertical="center" wrapText="1" readingOrder="1"/>
    </xf>
    <xf numFmtId="9" fontId="30" fillId="9" borderId="41" xfId="2" applyFont="1" applyFill="1" applyBorder="1" applyAlignment="1">
      <alignment horizontal="center" vertical="center" wrapText="1"/>
    </xf>
    <xf numFmtId="165" fontId="30" fillId="9" borderId="43" xfId="0" applyNumberFormat="1" applyFont="1" applyFill="1" applyBorder="1" applyAlignment="1">
      <alignment horizontal="center" vertical="center" wrapText="1" readingOrder="1"/>
    </xf>
    <xf numFmtId="9" fontId="30" fillId="9" borderId="43" xfId="2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23" fillId="9" borderId="8" xfId="0" applyFont="1" applyFill="1" applyBorder="1" applyAlignment="1">
      <alignment vertical="center" wrapText="1" readingOrder="1"/>
    </xf>
    <xf numFmtId="0" fontId="4" fillId="7" borderId="25" xfId="0" applyFont="1" applyFill="1" applyBorder="1" applyAlignment="1">
      <alignment vertical="center"/>
    </xf>
    <xf numFmtId="0" fontId="23" fillId="9" borderId="8" xfId="0" applyFont="1" applyFill="1" applyBorder="1" applyAlignment="1">
      <alignment horizontal="center" vertical="center" readingOrder="1"/>
    </xf>
    <xf numFmtId="0" fontId="23" fillId="7" borderId="8" xfId="0" applyFont="1" applyFill="1" applyBorder="1" applyAlignment="1">
      <alignment vertical="center" wrapText="1" readingOrder="1"/>
    </xf>
    <xf numFmtId="0" fontId="14" fillId="5" borderId="8" xfId="0" applyFont="1" applyFill="1" applyBorder="1" applyAlignment="1">
      <alignment horizontal="left" wrapText="1" readingOrder="1"/>
    </xf>
    <xf numFmtId="0" fontId="23" fillId="9" borderId="44" xfId="0" applyFont="1" applyFill="1" applyBorder="1" applyAlignment="1">
      <alignment horizontal="center" vertical="center" wrapText="1" readingOrder="1"/>
    </xf>
    <xf numFmtId="14" fontId="23" fillId="9" borderId="45" xfId="0" applyNumberFormat="1" applyFont="1" applyFill="1" applyBorder="1" applyAlignment="1">
      <alignment horizontal="center" vertical="center" wrapText="1" readingOrder="1"/>
    </xf>
    <xf numFmtId="0" fontId="32" fillId="12" borderId="46" xfId="0" applyFont="1" applyFill="1" applyBorder="1" applyAlignment="1">
      <alignment horizontal="center" vertical="center" wrapText="1" readingOrder="1"/>
    </xf>
    <xf numFmtId="0" fontId="32" fillId="12" borderId="47" xfId="0" applyFont="1" applyFill="1" applyBorder="1" applyAlignment="1">
      <alignment horizontal="center" vertical="center" wrapText="1" readingOrder="1"/>
    </xf>
    <xf numFmtId="0" fontId="33" fillId="7" borderId="3" xfId="0" applyFont="1" applyFill="1" applyBorder="1" applyAlignment="1">
      <alignment horizontal="left" vertical="center" wrapText="1"/>
    </xf>
    <xf numFmtId="0" fontId="15" fillId="7" borderId="48" xfId="0" applyFont="1" applyFill="1" applyBorder="1" applyAlignment="1">
      <alignment horizontal="left" vertical="center" wrapText="1" readingOrder="1"/>
    </xf>
    <xf numFmtId="2" fontId="14" fillId="8" borderId="16" xfId="0" applyNumberFormat="1" applyFont="1" applyFill="1" applyBorder="1" applyAlignment="1">
      <alignment horizontal="center" vertical="center" readingOrder="1"/>
    </xf>
    <xf numFmtId="0" fontId="8" fillId="0" borderId="0" xfId="0" applyFont="1" applyAlignment="1">
      <alignment horizontal="center"/>
    </xf>
    <xf numFmtId="10" fontId="6" fillId="5" borderId="5" xfId="1" applyNumberFormat="1" applyFont="1" applyFill="1" applyBorder="1" applyAlignment="1">
      <alignment horizontal="center" vertical="center" wrapText="1" readingOrder="1"/>
    </xf>
    <xf numFmtId="0" fontId="10" fillId="7" borderId="0" xfId="0" applyFont="1" applyFill="1" applyAlignment="1">
      <alignment horizontal="center" vertical="center" wrapText="1" readingOrder="1"/>
    </xf>
    <xf numFmtId="0" fontId="36" fillId="6" borderId="0" xfId="0" applyFont="1" applyFill="1" applyAlignment="1">
      <alignment horizontal="left" vertical="center" indent="6"/>
    </xf>
    <xf numFmtId="0" fontId="36" fillId="13" borderId="0" xfId="0" applyFont="1" applyFill="1" applyAlignment="1">
      <alignment horizontal="left" vertical="center" indent="6"/>
    </xf>
    <xf numFmtId="0" fontId="36" fillId="14" borderId="0" xfId="0" applyFont="1" applyFill="1" applyAlignment="1">
      <alignment horizontal="left" vertical="center" indent="6"/>
    </xf>
    <xf numFmtId="0" fontId="36" fillId="15" borderId="0" xfId="0" applyFont="1" applyFill="1" applyAlignment="1">
      <alignment horizontal="left" vertical="center" indent="6"/>
    </xf>
    <xf numFmtId="0" fontId="4" fillId="9" borderId="0" xfId="0" applyFont="1" applyFill="1" applyAlignment="1">
      <alignment vertical="center"/>
    </xf>
    <xf numFmtId="0" fontId="4" fillId="9" borderId="25" xfId="0" applyFont="1" applyFill="1" applyBorder="1" applyAlignment="1">
      <alignment vertical="center"/>
    </xf>
    <xf numFmtId="0" fontId="37" fillId="9" borderId="8" xfId="0" applyFont="1" applyFill="1" applyBorder="1" applyAlignment="1">
      <alignment horizontal="center" vertical="center" wrapText="1" readingOrder="1"/>
    </xf>
    <xf numFmtId="0" fontId="28" fillId="5" borderId="8" xfId="0" applyFont="1" applyFill="1" applyBorder="1" applyAlignment="1">
      <alignment horizontal="left" vertical="center" wrapText="1" readingOrder="1"/>
    </xf>
    <xf numFmtId="49" fontId="38" fillId="5" borderId="8" xfId="0" applyNumberFormat="1" applyFont="1" applyFill="1" applyBorder="1" applyAlignment="1">
      <alignment horizontal="center" vertical="center" wrapText="1"/>
    </xf>
    <xf numFmtId="0" fontId="28" fillId="8" borderId="8" xfId="0" applyFont="1" applyFill="1" applyBorder="1" applyAlignment="1">
      <alignment horizontal="left" vertical="center" wrapText="1" readingOrder="1"/>
    </xf>
    <xf numFmtId="49" fontId="21" fillId="8" borderId="8" xfId="0" applyNumberFormat="1" applyFont="1" applyFill="1" applyBorder="1" applyAlignment="1">
      <alignment horizontal="center" vertical="center" wrapText="1" readingOrder="1"/>
    </xf>
    <xf numFmtId="0" fontId="39" fillId="5" borderId="8" xfId="0" applyFont="1" applyFill="1" applyBorder="1" applyAlignment="1">
      <alignment horizontal="left" vertical="center" wrapText="1" readingOrder="1"/>
    </xf>
    <xf numFmtId="165" fontId="40" fillId="5" borderId="8" xfId="0" applyNumberFormat="1" applyFont="1" applyFill="1" applyBorder="1" applyAlignment="1">
      <alignment horizontal="center" vertical="center" wrapText="1" readingOrder="1"/>
    </xf>
    <xf numFmtId="0" fontId="41" fillId="0" borderId="0" xfId="0" applyFont="1"/>
    <xf numFmtId="165" fontId="41" fillId="0" borderId="0" xfId="0" applyNumberFormat="1" applyFont="1"/>
    <xf numFmtId="0" fontId="31" fillId="8" borderId="8" xfId="0" applyFont="1" applyFill="1" applyBorder="1" applyAlignment="1">
      <alignment horizontal="left" vertical="center" wrapText="1" readingOrder="1"/>
    </xf>
    <xf numFmtId="165" fontId="40" fillId="8" borderId="8" xfId="0" applyNumberFormat="1" applyFont="1" applyFill="1" applyBorder="1" applyAlignment="1">
      <alignment horizontal="center" vertical="center" wrapText="1" readingOrder="1"/>
    </xf>
    <xf numFmtId="0" fontId="35" fillId="0" borderId="0" xfId="0" applyFont="1"/>
    <xf numFmtId="14" fontId="21" fillId="8" borderId="8" xfId="0" applyNumberFormat="1" applyFont="1" applyFill="1" applyBorder="1" applyAlignment="1">
      <alignment horizontal="center" vertical="center" wrapText="1" readingOrder="1"/>
    </xf>
    <xf numFmtId="9" fontId="41" fillId="0" borderId="0" xfId="0" applyNumberFormat="1" applyFont="1"/>
    <xf numFmtId="10" fontId="38" fillId="5" borderId="8" xfId="0" applyNumberFormat="1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 readingOrder="1"/>
    </xf>
    <xf numFmtId="165" fontId="0" fillId="0" borderId="0" xfId="0" applyNumberFormat="1"/>
    <xf numFmtId="0" fontId="21" fillId="8" borderId="8" xfId="0" applyFont="1" applyFill="1" applyBorder="1" applyAlignment="1">
      <alignment horizontal="center" vertical="center" wrapText="1" readingOrder="1"/>
    </xf>
    <xf numFmtId="14" fontId="23" fillId="9" borderId="9" xfId="0" applyNumberFormat="1" applyFont="1" applyFill="1" applyBorder="1" applyAlignment="1">
      <alignment horizontal="center" vertical="center" wrapText="1" readingOrder="1"/>
    </xf>
    <xf numFmtId="10" fontId="40" fillId="5" borderId="8" xfId="4" applyNumberFormat="1" applyFont="1" applyFill="1" applyBorder="1" applyAlignment="1">
      <alignment horizontal="center" vertical="center" wrapText="1" readingOrder="1"/>
    </xf>
    <xf numFmtId="10" fontId="42" fillId="5" borderId="8" xfId="0" applyNumberFormat="1" applyFont="1" applyFill="1" applyBorder="1" applyAlignment="1">
      <alignment horizontal="center" vertical="center" wrapText="1"/>
    </xf>
    <xf numFmtId="0" fontId="43" fillId="0" borderId="56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15" fillId="8" borderId="8" xfId="0" applyFont="1" applyFill="1" applyBorder="1" applyAlignment="1">
      <alignment vertical="center" wrapText="1" readingOrder="1"/>
    </xf>
    <xf numFmtId="0" fontId="23" fillId="9" borderId="8" xfId="0" applyFont="1" applyFill="1" applyBorder="1" applyAlignment="1">
      <alignment horizontal="center" wrapText="1" readingOrder="1"/>
    </xf>
    <xf numFmtId="44" fontId="13" fillId="7" borderId="0" xfId="1" applyFont="1" applyFill="1" applyAlignment="1">
      <alignment horizontal="center" vertical="center"/>
    </xf>
    <xf numFmtId="0" fontId="0" fillId="7" borderId="0" xfId="0" applyFill="1"/>
    <xf numFmtId="0" fontId="1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44" fontId="4" fillId="3" borderId="0" xfId="0" applyNumberFormat="1" applyFont="1" applyFill="1" applyAlignment="1">
      <alignment horizontal="center" vertical="center"/>
    </xf>
    <xf numFmtId="0" fontId="5" fillId="0" borderId="0" xfId="0" applyFont="1"/>
    <xf numFmtId="0" fontId="18" fillId="9" borderId="15" xfId="0" applyFont="1" applyFill="1" applyBorder="1" applyAlignment="1">
      <alignment horizontal="center" vertical="center" wrapText="1" readingOrder="1"/>
    </xf>
    <xf numFmtId="0" fontId="0" fillId="0" borderId="14" xfId="0" applyBorder="1"/>
    <xf numFmtId="0" fontId="5" fillId="3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3" fillId="2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0" fontId="3" fillId="4" borderId="49" xfId="0" applyFont="1" applyFill="1" applyBorder="1" applyAlignment="1">
      <alignment horizontal="center" vertical="center" wrapText="1" readingOrder="1"/>
    </xf>
    <xf numFmtId="0" fontId="3" fillId="4" borderId="50" xfId="0" applyFont="1" applyFill="1" applyBorder="1" applyAlignment="1">
      <alignment horizontal="center" vertical="center" wrapText="1" readingOrder="1"/>
    </xf>
    <xf numFmtId="0" fontId="3" fillId="4" borderId="51" xfId="0" applyFont="1" applyFill="1" applyBorder="1" applyAlignment="1">
      <alignment horizontal="center" vertical="center" wrapText="1" readingOrder="1"/>
    </xf>
    <xf numFmtId="49" fontId="15" fillId="5" borderId="8" xfId="0" applyNumberFormat="1" applyFont="1" applyFill="1" applyBorder="1" applyAlignment="1">
      <alignment horizontal="left" vertical="center" wrapText="1" readingOrder="1"/>
    </xf>
    <xf numFmtId="0" fontId="0" fillId="0" borderId="11" xfId="0" applyBorder="1"/>
    <xf numFmtId="0" fontId="0" fillId="0" borderId="10" xfId="0" applyBorder="1"/>
    <xf numFmtId="49" fontId="15" fillId="8" borderId="8" xfId="0" applyNumberFormat="1" applyFont="1" applyFill="1" applyBorder="1" applyAlignment="1">
      <alignment horizontal="left" vertical="center" wrapText="1" readingOrder="1"/>
    </xf>
    <xf numFmtId="49" fontId="15" fillId="5" borderId="9" xfId="0" applyNumberFormat="1" applyFont="1" applyFill="1" applyBorder="1" applyAlignment="1">
      <alignment horizontal="center" vertical="center" wrapText="1" readingOrder="1"/>
    </xf>
    <xf numFmtId="0" fontId="6" fillId="5" borderId="52" xfId="0" applyFont="1" applyFill="1" applyBorder="1" applyAlignment="1">
      <alignment horizontal="center" vertical="center" wrapText="1" readingOrder="1"/>
    </xf>
    <xf numFmtId="0" fontId="0" fillId="0" borderId="6" xfId="0" applyBorder="1"/>
    <xf numFmtId="0" fontId="0" fillId="0" borderId="7" xfId="0" applyBorder="1"/>
    <xf numFmtId="0" fontId="15" fillId="8" borderId="8" xfId="0" applyFont="1" applyFill="1" applyBorder="1" applyAlignment="1">
      <alignment horizontal="left" vertical="center" wrapText="1" readingOrder="1"/>
    </xf>
    <xf numFmtId="0" fontId="17" fillId="8" borderId="9" xfId="3" applyFont="1" applyFill="1" applyBorder="1"/>
    <xf numFmtId="0" fontId="3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5" fillId="8" borderId="19" xfId="0" applyFont="1" applyFill="1" applyBorder="1" applyAlignment="1">
      <alignment horizontal="left" vertical="center" readingOrder="1"/>
    </xf>
    <xf numFmtId="0" fontId="0" fillId="0" borderId="17" xfId="0" applyBorder="1"/>
    <xf numFmtId="0" fontId="14" fillId="8" borderId="9" xfId="0" applyFont="1" applyFill="1" applyBorder="1" applyAlignment="1">
      <alignment horizontal="center" vertical="center" readingOrder="1"/>
    </xf>
    <xf numFmtId="0" fontId="18" fillId="9" borderId="21" xfId="0" applyFont="1" applyFill="1" applyBorder="1" applyAlignment="1">
      <alignment horizontal="center" vertical="center" readingOrder="1"/>
    </xf>
    <xf numFmtId="0" fontId="0" fillId="0" borderId="22" xfId="0" applyBorder="1"/>
    <xf numFmtId="0" fontId="15" fillId="8" borderId="20" xfId="0" applyFont="1" applyFill="1" applyBorder="1" applyAlignment="1">
      <alignment horizontal="center" vertical="center" readingOrder="1"/>
    </xf>
    <xf numFmtId="0" fontId="14" fillId="5" borderId="8" xfId="0" applyFont="1" applyFill="1" applyBorder="1" applyAlignment="1">
      <alignment horizontal="center" vertical="center" readingOrder="1"/>
    </xf>
    <xf numFmtId="0" fontId="15" fillId="8" borderId="55" xfId="0" applyFont="1" applyFill="1" applyBorder="1" applyAlignment="1">
      <alignment horizontal="center" vertical="center" readingOrder="1"/>
    </xf>
    <xf numFmtId="0" fontId="15" fillId="8" borderId="11" xfId="0" applyFont="1" applyFill="1" applyBorder="1" applyAlignment="1">
      <alignment horizontal="center" vertical="center" readingOrder="1"/>
    </xf>
    <xf numFmtId="0" fontId="14" fillId="8" borderId="53" xfId="0" applyFont="1" applyFill="1" applyBorder="1" applyAlignment="1">
      <alignment horizontal="center" vertical="center" readingOrder="1"/>
    </xf>
    <xf numFmtId="0" fontId="0" fillId="0" borderId="18" xfId="0" applyBorder="1"/>
    <xf numFmtId="0" fontId="0" fillId="2" borderId="0" xfId="0" applyFill="1" applyAlignment="1">
      <alignment horizontal="center"/>
    </xf>
    <xf numFmtId="0" fontId="0" fillId="0" borderId="0" xfId="0"/>
    <xf numFmtId="44" fontId="4" fillId="2" borderId="23" xfId="0" applyNumberFormat="1" applyFont="1" applyFill="1" applyBorder="1" applyAlignment="1">
      <alignment horizontal="left" vertical="center"/>
    </xf>
    <xf numFmtId="0" fontId="0" fillId="0" borderId="23" xfId="0" applyBorder="1"/>
    <xf numFmtId="6" fontId="3" fillId="9" borderId="24" xfId="0" applyNumberFormat="1" applyFont="1" applyFill="1" applyBorder="1" applyAlignment="1">
      <alignment horizontal="center" vertical="center" wrapText="1" readingOrder="1"/>
    </xf>
    <xf numFmtId="0" fontId="0" fillId="0" borderId="25" xfId="0" applyBorder="1"/>
    <xf numFmtId="0" fontId="0" fillId="0" borderId="30" xfId="0" applyBorder="1"/>
    <xf numFmtId="17" fontId="2" fillId="9" borderId="8" xfId="0" applyNumberFormat="1" applyFont="1" applyFill="1" applyBorder="1" applyAlignment="1">
      <alignment horizontal="center" vertical="center" wrapText="1" readingOrder="1"/>
    </xf>
    <xf numFmtId="0" fontId="19" fillId="9" borderId="8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/>
    </xf>
    <xf numFmtId="164" fontId="14" fillId="5" borderId="8" xfId="0" applyNumberFormat="1" applyFont="1" applyFill="1" applyBorder="1" applyAlignment="1">
      <alignment horizontal="left" vertical="center" wrapText="1" readingOrder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4" fontId="15" fillId="5" borderId="8" xfId="0" applyNumberFormat="1" applyFont="1" applyFill="1" applyBorder="1" applyAlignment="1">
      <alignment horizontal="left" vertical="center" wrapText="1" readingOrder="1"/>
    </xf>
    <xf numFmtId="0" fontId="23" fillId="9" borderId="8" xfId="0" applyFont="1" applyFill="1" applyBorder="1" applyAlignment="1">
      <alignment horizontal="center" vertical="center" wrapText="1" readingOrder="1"/>
    </xf>
    <xf numFmtId="164" fontId="24" fillId="8" borderId="8" xfId="0" applyNumberFormat="1" applyFont="1" applyFill="1" applyBorder="1" applyAlignment="1">
      <alignment horizontal="left" vertical="center" wrapText="1" readingOrder="1"/>
    </xf>
    <xf numFmtId="44" fontId="4" fillId="2" borderId="25" xfId="0" applyNumberFormat="1" applyFont="1" applyFill="1" applyBorder="1" applyAlignment="1">
      <alignment horizontal="left" vertical="center"/>
    </xf>
    <xf numFmtId="164" fontId="24" fillId="10" borderId="8" xfId="0" applyNumberFormat="1" applyFont="1" applyFill="1" applyBorder="1" applyAlignment="1">
      <alignment horizontal="center" vertical="center" wrapText="1" readingOrder="1"/>
    </xf>
    <xf numFmtId="164" fontId="15" fillId="5" borderId="8" xfId="0" applyNumberFormat="1" applyFont="1" applyFill="1" applyBorder="1" applyAlignment="1">
      <alignment horizontal="center" vertical="center" wrapText="1" readingOrder="1"/>
    </xf>
    <xf numFmtId="165" fontId="15" fillId="5" borderId="8" xfId="0" applyNumberFormat="1" applyFont="1" applyFill="1" applyBorder="1" applyAlignment="1">
      <alignment horizontal="left" vertical="center" wrapText="1" readingOrder="1"/>
    </xf>
    <xf numFmtId="164" fontId="14" fillId="5" borderId="31" xfId="0" applyNumberFormat="1" applyFont="1" applyFill="1" applyBorder="1" applyAlignment="1">
      <alignment horizontal="center" vertical="center" wrapText="1" readingOrder="1"/>
    </xf>
    <xf numFmtId="0" fontId="0" fillId="0" borderId="32" xfId="0" applyBorder="1"/>
    <xf numFmtId="10" fontId="24" fillId="5" borderId="31" xfId="2" applyNumberFormat="1" applyFont="1" applyFill="1" applyBorder="1" applyAlignment="1">
      <alignment horizontal="center" vertical="center" wrapText="1" readingOrder="1"/>
    </xf>
    <xf numFmtId="165" fontId="24" fillId="8" borderId="31" xfId="0" applyNumberFormat="1" applyFont="1" applyFill="1" applyBorder="1" applyAlignment="1">
      <alignment horizontal="center" vertical="top" wrapText="1"/>
    </xf>
    <xf numFmtId="0" fontId="26" fillId="8" borderId="31" xfId="0" applyFont="1" applyFill="1" applyBorder="1" applyAlignment="1">
      <alignment horizontal="left" vertical="center" wrapText="1" readingOrder="1"/>
    </xf>
    <xf numFmtId="0" fontId="23" fillId="9" borderId="31" xfId="0" applyFont="1" applyFill="1" applyBorder="1" applyAlignment="1">
      <alignment horizontal="center" vertical="center" wrapText="1" readingOrder="1"/>
    </xf>
    <xf numFmtId="44" fontId="4" fillId="2" borderId="0" xfId="0" applyNumberFormat="1" applyFont="1" applyFill="1" applyAlignment="1">
      <alignment horizontal="left" vertical="center"/>
    </xf>
    <xf numFmtId="4" fontId="24" fillId="5" borderId="3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2" borderId="33" xfId="0" applyFill="1" applyBorder="1" applyAlignment="1">
      <alignment horizontal="center"/>
    </xf>
    <xf numFmtId="0" fontId="0" fillId="0" borderId="34" xfId="0" applyBorder="1"/>
    <xf numFmtId="44" fontId="4" fillId="2" borderId="0" xfId="0" applyNumberFormat="1" applyFont="1" applyFill="1" applyAlignment="1">
      <alignment horizontal="center" vertical="center"/>
    </xf>
    <xf numFmtId="44" fontId="4" fillId="2" borderId="25" xfId="0" applyNumberFormat="1" applyFont="1" applyFill="1" applyBorder="1" applyAlignment="1">
      <alignment horizontal="center" vertical="center"/>
    </xf>
    <xf numFmtId="0" fontId="23" fillId="9" borderId="9" xfId="0" applyFont="1" applyFill="1" applyBorder="1" applyAlignment="1">
      <alignment horizontal="center" vertical="center" wrapText="1" readingOrder="1"/>
    </xf>
    <xf numFmtId="0" fontId="23" fillId="9" borderId="10" xfId="0" applyFont="1" applyFill="1" applyBorder="1" applyAlignment="1">
      <alignment horizontal="center" vertical="center" wrapText="1" readingOrder="1"/>
    </xf>
    <xf numFmtId="0" fontId="43" fillId="0" borderId="56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2" fillId="12" borderId="47" xfId="0" applyFont="1" applyFill="1" applyBorder="1" applyAlignment="1">
      <alignment horizontal="center" vertical="center" wrapText="1" readingOrder="1"/>
    </xf>
    <xf numFmtId="0" fontId="32" fillId="12" borderId="54" xfId="0" applyFont="1" applyFill="1" applyBorder="1" applyAlignment="1">
      <alignment horizontal="center" vertical="center" wrapText="1" readingOrder="1"/>
    </xf>
    <xf numFmtId="0" fontId="34" fillId="5" borderId="49" xfId="0" applyFont="1" applyFill="1" applyBorder="1" applyAlignment="1">
      <alignment horizontal="left" vertical="center" wrapText="1"/>
    </xf>
    <xf numFmtId="0" fontId="0" fillId="0" borderId="50" xfId="0" applyBorder="1"/>
    <xf numFmtId="0" fontId="10" fillId="8" borderId="3" xfId="0" applyFont="1" applyFill="1" applyBorder="1" applyAlignment="1">
      <alignment vertical="center" wrapText="1"/>
    </xf>
    <xf numFmtId="0" fontId="0" fillId="0" borderId="51" xfId="0" applyBorder="1"/>
    <xf numFmtId="0" fontId="25" fillId="7" borderId="49" xfId="0" applyFont="1" applyFill="1" applyBorder="1" applyAlignment="1">
      <alignment vertical="center" wrapText="1" readingOrder="1"/>
    </xf>
  </cellXfs>
  <cellStyles count="5">
    <cellStyle name="Hiperlink" xfId="3" builtinId="8"/>
    <cellStyle name="Moeda" xfId="1" builtinId="4"/>
    <cellStyle name="Normal" xfId="0" builtinId="0"/>
    <cellStyle name="Porcentagem" xfId="2" builtinId="5"/>
    <cellStyle name="Porcentagem 2" xfId="4" xr:uid="{40851A0B-45B1-4202-8158-A9B876F83CE3}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Endividamento por produto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2326493574920237E-2"/>
          <c:y val="0.2363279023496308"/>
          <c:w val="0.82047712437432307"/>
          <c:h val="0.51545873602802372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3123-4B5B-A37B-77A64AADEF8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'ENDIV GERAL'!$A$14:$A$16</c:f>
              <c:strCache>
                <c:ptCount val="2"/>
                <c:pt idx="0">
                  <c:v>Desconto fundos</c:v>
                </c:pt>
                <c:pt idx="1">
                  <c:v>SCR a vencer</c:v>
                </c:pt>
              </c:strCache>
            </c:strRef>
          </c:cat>
          <c:val>
            <c:numRef>
              <c:f>'ENDIV GERAL'!$B$14:$B$16</c:f>
              <c:numCache>
                <c:formatCode>"R$"\ 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3-4B5B-A37B-77A64AADE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12</xdr:row>
      <xdr:rowOff>0</xdr:rowOff>
    </xdr:from>
    <xdr:to>
      <xdr:col>5</xdr:col>
      <xdr:colOff>704849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zoomScale="70" zoomScaleNormal="70" workbookViewId="0">
      <selection activeCell="B1" sqref="B1:N21"/>
    </sheetView>
  </sheetViews>
  <sheetFormatPr defaultColWidth="8.88671875" defaultRowHeight="14.4"/>
  <cols>
    <col min="1" max="1" width="8.88671875" style="18" customWidth="1"/>
    <col min="2" max="16384" width="8.88671875" style="18"/>
  </cols>
  <sheetData>
    <row r="1" spans="2:14">
      <c r="B1" s="186" t="e" vm="1">
        <v>#VALUE!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2:14"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2:14"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</row>
    <row r="4" spans="2:14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</row>
    <row r="5" spans="2:14"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</row>
    <row r="6" spans="2:14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</row>
    <row r="7" spans="2:14"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</row>
    <row r="8" spans="2:14"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</row>
    <row r="9" spans="2:14"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</row>
    <row r="10" spans="2:14"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</row>
    <row r="11" spans="2:14"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186"/>
      <c r="N11" s="186"/>
    </row>
    <row r="12" spans="2:14"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186"/>
      <c r="N12" s="186"/>
    </row>
    <row r="13" spans="2:14"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</row>
    <row r="14" spans="2:14"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</row>
    <row r="15" spans="2:14" ht="14.4" customHeight="1"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</row>
    <row r="16" spans="2:14" ht="14.4" customHeight="1"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/>
      <c r="M16" s="186"/>
      <c r="N16" s="186"/>
    </row>
    <row r="17" spans="2:14" ht="14.4" customHeight="1"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186"/>
      <c r="M17" s="186"/>
      <c r="N17" s="186"/>
    </row>
    <row r="18" spans="2:14"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</row>
    <row r="19" spans="2:14"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</row>
    <row r="20" spans="2:14" ht="14.4" customHeight="1"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</row>
    <row r="21" spans="2:14" ht="14.4" customHeight="1"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</row>
    <row r="22" spans="2:14">
      <c r="B22" s="185" t="s">
        <v>0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</row>
    <row r="23" spans="2:14"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</row>
    <row r="24" spans="2:14"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</row>
    <row r="26" spans="2:14">
      <c r="C26" s="183"/>
      <c r="D26" s="184"/>
      <c r="E26" s="184"/>
      <c r="F26" s="184"/>
      <c r="G26" s="184"/>
      <c r="H26" s="184"/>
      <c r="I26" s="184"/>
      <c r="J26" s="184"/>
      <c r="K26" s="184"/>
      <c r="L26" s="184"/>
      <c r="M26" s="184"/>
    </row>
    <row r="27" spans="2:14"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</row>
  </sheetData>
  <mergeCells count="3">
    <mergeCell ref="C26:M27"/>
    <mergeCell ref="B22:N24"/>
    <mergeCell ref="B1:N21"/>
  </mergeCells>
  <pageMargins left="0.51181102362204722" right="0.51181102362204722" top="0.78740157480314965" bottom="0.78740157480314965" header="0.31496062992125984" footer="0.31496062992125984"/>
  <pageSetup paperSize="9" orientation="landscape"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F24"/>
  <sheetViews>
    <sheetView showGridLines="0" zoomScale="85" zoomScaleNormal="85" workbookViewId="0">
      <selection activeCell="A5" sqref="A5:D23"/>
    </sheetView>
  </sheetViews>
  <sheetFormatPr defaultColWidth="9.109375" defaultRowHeight="21"/>
  <cols>
    <col min="1" max="4" width="34.109375" style="1" customWidth="1"/>
    <col min="5" max="5" width="1.44140625" style="1" customWidth="1"/>
    <col min="6" max="6" width="9.6640625" style="1" customWidth="1"/>
    <col min="7" max="7" width="9.109375" style="1" customWidth="1"/>
    <col min="8" max="16384" width="9.109375" style="1"/>
  </cols>
  <sheetData>
    <row r="1" spans="1:6" ht="13.8" customHeight="1">
      <c r="A1" s="187">
        <f>CAPA!C26</f>
        <v>0</v>
      </c>
      <c r="B1" s="188"/>
      <c r="C1" s="188"/>
      <c r="D1" s="188"/>
      <c r="F1" s="191"/>
    </row>
    <row r="2" spans="1:6" ht="13.8" customHeight="1">
      <c r="A2" s="188"/>
      <c r="B2" s="188"/>
      <c r="C2" s="188"/>
      <c r="D2" s="188"/>
      <c r="F2" s="188"/>
    </row>
    <row r="3" spans="1:6" ht="13.8" customHeight="1" thickBot="1">
      <c r="A3" s="188"/>
      <c r="B3" s="188"/>
      <c r="C3" s="188"/>
      <c r="D3" s="188"/>
      <c r="F3" s="188"/>
    </row>
    <row r="4" spans="1:6" ht="21.6" customHeight="1" thickTop="1">
      <c r="A4" s="189" t="s">
        <v>1</v>
      </c>
      <c r="B4" s="190"/>
      <c r="C4" s="190"/>
      <c r="D4" s="190"/>
      <c r="F4" s="188"/>
    </row>
    <row r="5" spans="1:6">
      <c r="A5" s="193"/>
      <c r="B5" s="193"/>
      <c r="C5" s="193"/>
      <c r="D5" s="193"/>
      <c r="F5" s="188"/>
    </row>
    <row r="6" spans="1:6">
      <c r="A6" s="193"/>
      <c r="B6" s="193"/>
      <c r="C6" s="193"/>
      <c r="D6" s="193"/>
      <c r="F6" s="188"/>
    </row>
    <row r="7" spans="1:6">
      <c r="A7" s="193"/>
      <c r="B7" s="193"/>
      <c r="C7" s="193"/>
      <c r="D7" s="193"/>
      <c r="F7" s="188"/>
    </row>
    <row r="8" spans="1:6">
      <c r="A8" s="193"/>
      <c r="B8" s="193"/>
      <c r="C8" s="193"/>
      <c r="D8" s="193"/>
      <c r="F8" s="188"/>
    </row>
    <row r="9" spans="1:6">
      <c r="A9" s="193"/>
      <c r="B9" s="193"/>
      <c r="C9" s="193"/>
      <c r="D9" s="193"/>
      <c r="F9" s="188"/>
    </row>
    <row r="10" spans="1:6">
      <c r="A10" s="193"/>
      <c r="B10" s="193"/>
      <c r="C10" s="193"/>
      <c r="D10" s="193"/>
      <c r="F10" s="188"/>
    </row>
    <row r="11" spans="1:6">
      <c r="A11" s="193"/>
      <c r="B11" s="193"/>
      <c r="C11" s="193"/>
      <c r="D11" s="193"/>
      <c r="F11" s="188"/>
    </row>
    <row r="12" spans="1:6">
      <c r="A12" s="193"/>
      <c r="B12" s="193"/>
      <c r="C12" s="193"/>
      <c r="D12" s="193"/>
      <c r="F12" s="188"/>
    </row>
    <row r="13" spans="1:6">
      <c r="A13" s="193"/>
      <c r="B13" s="193"/>
      <c r="C13" s="193"/>
      <c r="D13" s="193"/>
      <c r="F13" s="188"/>
    </row>
    <row r="14" spans="1:6" ht="21.6" customHeight="1">
      <c r="A14" s="193"/>
      <c r="B14" s="193"/>
      <c r="C14" s="193"/>
      <c r="D14" s="193"/>
      <c r="F14" s="188"/>
    </row>
    <row r="15" spans="1:6" ht="22.2" customHeight="1">
      <c r="A15" s="193"/>
      <c r="B15" s="193"/>
      <c r="C15" s="193"/>
      <c r="D15" s="193"/>
      <c r="F15" s="188"/>
    </row>
    <row r="16" spans="1:6" ht="21.6" customHeight="1">
      <c r="A16" s="193"/>
      <c r="B16" s="193"/>
      <c r="C16" s="193"/>
      <c r="D16" s="193"/>
      <c r="F16" s="188"/>
    </row>
    <row r="17" spans="1:6" s="13" customFormat="1" ht="21.6" customHeight="1">
      <c r="A17" s="193"/>
      <c r="B17" s="193"/>
      <c r="C17" s="193"/>
      <c r="D17" s="193"/>
      <c r="F17" s="192"/>
    </row>
    <row r="18" spans="1:6">
      <c r="A18" s="193"/>
      <c r="B18" s="193"/>
      <c r="C18" s="193"/>
      <c r="D18" s="193"/>
      <c r="F18" s="188"/>
    </row>
    <row r="19" spans="1:6" ht="21.6" customHeight="1">
      <c r="A19" s="193"/>
      <c r="B19" s="193"/>
      <c r="C19" s="193"/>
      <c r="D19" s="193"/>
      <c r="F19" s="188"/>
    </row>
    <row r="20" spans="1:6" ht="21.6" customHeight="1">
      <c r="A20" s="193"/>
      <c r="B20" s="193"/>
      <c r="C20" s="193"/>
      <c r="D20" s="193"/>
      <c r="F20" s="188"/>
    </row>
    <row r="21" spans="1:6">
      <c r="A21" s="193"/>
      <c r="B21" s="193"/>
      <c r="C21" s="193"/>
      <c r="D21" s="193"/>
      <c r="F21" s="188"/>
    </row>
    <row r="22" spans="1:6">
      <c r="A22" s="193"/>
      <c r="B22" s="193"/>
      <c r="C22" s="193"/>
      <c r="D22" s="193"/>
      <c r="F22" s="188"/>
    </row>
    <row r="23" spans="1:6">
      <c r="A23" s="193"/>
      <c r="B23" s="193"/>
      <c r="C23" s="193"/>
      <c r="D23" s="193"/>
      <c r="F23" s="188"/>
    </row>
    <row r="24" spans="1:6">
      <c r="A24" s="15"/>
      <c r="B24" s="16"/>
      <c r="C24" s="17"/>
    </row>
  </sheetData>
  <mergeCells count="4">
    <mergeCell ref="A1:D3"/>
    <mergeCell ref="A4:D4"/>
    <mergeCell ref="F1:F23"/>
    <mergeCell ref="A5:D23"/>
  </mergeCells>
  <printOptions horizontalCentered="1" verticalCentered="1"/>
  <pageMargins left="0.51181102362204722" right="0.51181102362204722" top="0.19685039370078741" bottom="0.39370078740157483" header="0" footer="0"/>
  <pageSetup paperSize="9" scale="92" orientation="landscape" r:id="rId1"/>
  <headerFoot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A1:H23"/>
  <sheetViews>
    <sheetView showGridLines="0" zoomScale="85" zoomScaleNormal="85" workbookViewId="0">
      <selection activeCell="F14" sqref="F14"/>
    </sheetView>
  </sheetViews>
  <sheetFormatPr defaultColWidth="9.109375" defaultRowHeight="21"/>
  <cols>
    <col min="1" max="1" width="34.109375" style="1" customWidth="1"/>
    <col min="2" max="2" width="37.88671875" style="1" customWidth="1"/>
    <col min="3" max="5" width="17.44140625" style="1" customWidth="1"/>
    <col min="6" max="6" width="34.109375" style="1" customWidth="1"/>
    <col min="7" max="7" width="1.44140625" style="1" customWidth="1"/>
    <col min="8" max="8" width="9.6640625" style="1" customWidth="1"/>
    <col min="9" max="9" width="23.109375" style="1" customWidth="1"/>
    <col min="10" max="10" width="33.109375" style="1" customWidth="1"/>
    <col min="11" max="11" width="96.5546875" style="1" customWidth="1"/>
    <col min="12" max="12" width="9.109375" style="1" customWidth="1"/>
    <col min="13" max="16384" width="9.109375" style="1"/>
  </cols>
  <sheetData>
    <row r="1" spans="1:8" ht="13.8" customHeight="1">
      <c r="A1" s="187">
        <f>CAPA!C26</f>
        <v>0</v>
      </c>
      <c r="B1" s="188"/>
      <c r="C1" s="188"/>
      <c r="D1" s="188"/>
      <c r="E1" s="188"/>
      <c r="F1" s="188"/>
      <c r="H1" s="191"/>
    </row>
    <row r="2" spans="1:8" ht="13.8" customHeight="1">
      <c r="A2" s="188"/>
      <c r="B2" s="188"/>
      <c r="C2" s="188"/>
      <c r="D2" s="188"/>
      <c r="E2" s="188"/>
      <c r="F2" s="188"/>
      <c r="H2" s="188"/>
    </row>
    <row r="3" spans="1:8" ht="13.8" customHeight="1">
      <c r="A3" s="188"/>
      <c r="B3" s="188"/>
      <c r="C3" s="188"/>
      <c r="D3" s="188"/>
      <c r="E3" s="188"/>
      <c r="F3" s="188"/>
      <c r="H3" s="188"/>
    </row>
    <row r="4" spans="1:8">
      <c r="A4" s="2" t="s">
        <v>2</v>
      </c>
      <c r="B4" s="197">
        <f>CAPA!C26</f>
        <v>0</v>
      </c>
      <c r="C4" s="197"/>
      <c r="D4" s="197"/>
      <c r="E4" s="149" t="s">
        <v>112</v>
      </c>
      <c r="F4" s="3"/>
      <c r="H4" s="188"/>
    </row>
    <row r="5" spans="1:8" ht="9" customHeight="1">
      <c r="A5" s="2"/>
      <c r="B5" s="3"/>
      <c r="C5" s="3"/>
      <c r="D5" s="3"/>
      <c r="E5" s="3"/>
      <c r="H5" s="188"/>
    </row>
    <row r="6" spans="1:8">
      <c r="A6" s="5" t="s">
        <v>3</v>
      </c>
      <c r="B6" s="5" t="s">
        <v>4</v>
      </c>
      <c r="C6" s="5"/>
      <c r="D6" s="5"/>
      <c r="E6" s="5"/>
      <c r="F6" s="5"/>
      <c r="H6" s="188"/>
    </row>
    <row r="7" spans="1:8" ht="9" customHeight="1">
      <c r="A7" s="5"/>
      <c r="B7" s="5"/>
      <c r="C7" s="5"/>
      <c r="D7" s="5"/>
      <c r="E7" s="5"/>
      <c r="F7" s="5"/>
      <c r="H7" s="188"/>
    </row>
    <row r="8" spans="1:8">
      <c r="A8" s="2" t="s">
        <v>5</v>
      </c>
      <c r="B8" s="4" t="s">
        <v>6</v>
      </c>
      <c r="C8" s="2"/>
      <c r="D8" s="2"/>
      <c r="E8" s="2"/>
      <c r="F8" s="2"/>
      <c r="H8" s="188"/>
    </row>
    <row r="9" spans="1:8" ht="9" customHeight="1">
      <c r="A9" s="2"/>
      <c r="B9" s="4"/>
      <c r="C9" s="2"/>
      <c r="D9" s="2"/>
      <c r="E9" s="2"/>
      <c r="F9" s="2"/>
      <c r="H9" s="188"/>
    </row>
    <row r="10" spans="1:8">
      <c r="A10" s="2" t="s">
        <v>7</v>
      </c>
      <c r="B10" s="4" t="s">
        <v>8</v>
      </c>
      <c r="C10" s="2"/>
      <c r="D10" s="2"/>
      <c r="E10" s="2"/>
      <c r="F10" s="2"/>
      <c r="H10" s="188"/>
    </row>
    <row r="11" spans="1:8" ht="9" customHeight="1">
      <c r="H11" s="188"/>
    </row>
    <row r="12" spans="1:8" ht="21.6" customHeight="1" thickBot="1">
      <c r="A12" s="196" t="s">
        <v>9</v>
      </c>
      <c r="B12" s="195"/>
      <c r="C12" s="195"/>
      <c r="D12" s="195"/>
      <c r="E12" s="195"/>
      <c r="F12" s="195"/>
      <c r="H12" s="188"/>
    </row>
    <row r="13" spans="1:8" ht="22.2" customHeight="1" thickTop="1" thickBot="1">
      <c r="A13" s="6" t="s">
        <v>10</v>
      </c>
      <c r="B13" s="7" t="s">
        <v>11</v>
      </c>
      <c r="C13" s="8" t="s">
        <v>12</v>
      </c>
      <c r="D13" s="9" t="s">
        <v>13</v>
      </c>
      <c r="E13" s="9" t="s">
        <v>113</v>
      </c>
      <c r="F13" s="9" t="s">
        <v>114</v>
      </c>
      <c r="H13" s="188"/>
    </row>
    <row r="14" spans="1:8" ht="21.6" customHeight="1" thickBot="1">
      <c r="A14" s="10"/>
      <c r="B14" s="11"/>
      <c r="C14" s="12"/>
      <c r="D14" s="12" t="s">
        <v>14</v>
      </c>
      <c r="E14" s="150"/>
      <c r="F14" s="150"/>
      <c r="H14" s="188"/>
    </row>
    <row r="15" spans="1:8" s="13" customFormat="1" ht="21.6" customHeight="1" thickBot="1">
      <c r="A15" s="6" t="s">
        <v>15</v>
      </c>
      <c r="B15" s="7">
        <f>SUM(B14:B14)</f>
        <v>0</v>
      </c>
      <c r="C15" s="198"/>
      <c r="D15" s="199"/>
      <c r="E15" s="199"/>
      <c r="F15" s="200"/>
      <c r="H15" s="192"/>
    </row>
    <row r="16" spans="1:8" ht="9" customHeight="1">
      <c r="A16" s="5"/>
      <c r="B16" s="14"/>
      <c r="C16" s="14"/>
      <c r="D16" s="14"/>
      <c r="E16" s="14"/>
      <c r="F16" s="14"/>
      <c r="H16" s="188"/>
    </row>
    <row r="17" spans="1:8" ht="21.6" customHeight="1" thickBot="1">
      <c r="A17" s="194" t="s">
        <v>119</v>
      </c>
      <c r="B17" s="195"/>
      <c r="C17" s="195"/>
      <c r="D17" s="195"/>
      <c r="E17" s="195"/>
      <c r="F17" s="195"/>
      <c r="H17" s="188"/>
    </row>
    <row r="18" spans="1:8" ht="21.6" customHeight="1" thickTop="1">
      <c r="A18" s="151"/>
      <c r="B18"/>
      <c r="C18"/>
      <c r="D18"/>
      <c r="E18"/>
      <c r="F18"/>
    </row>
    <row r="19" spans="1:8" ht="21.6" customHeight="1">
      <c r="A19" s="152" t="s">
        <v>115</v>
      </c>
      <c r="B19" s="16"/>
      <c r="C19" s="17"/>
      <c r="D19" s="17"/>
      <c r="E19" s="17"/>
    </row>
    <row r="20" spans="1:8">
      <c r="A20" s="153" t="s">
        <v>116</v>
      </c>
      <c r="B20" s="16"/>
      <c r="C20" s="17"/>
      <c r="D20" s="17"/>
      <c r="E20" s="17"/>
    </row>
    <row r="21" spans="1:8">
      <c r="A21" s="154" t="s">
        <v>117</v>
      </c>
      <c r="B21" s="16"/>
      <c r="C21" s="17"/>
      <c r="D21" s="17"/>
      <c r="E21" s="17"/>
    </row>
    <row r="22" spans="1:8">
      <c r="A22" s="155" t="s">
        <v>118</v>
      </c>
      <c r="B22" s="16"/>
      <c r="C22" s="17"/>
      <c r="D22" s="17"/>
      <c r="E22" s="17"/>
    </row>
    <row r="23" spans="1:8">
      <c r="A23" s="15"/>
      <c r="B23" s="16"/>
      <c r="C23" s="17"/>
      <c r="D23" s="17"/>
      <c r="E23" s="17"/>
    </row>
  </sheetData>
  <mergeCells count="6">
    <mergeCell ref="H1:H17"/>
    <mergeCell ref="A17:F17"/>
    <mergeCell ref="A1:F3"/>
    <mergeCell ref="A12:F12"/>
    <mergeCell ref="B4:D4"/>
    <mergeCell ref="C15:F15"/>
  </mergeCells>
  <printOptions horizontalCentered="1" verticalCentered="1"/>
  <pageMargins left="0.51181102362204722" right="0.51181102362204722" top="0.19685039370078741" bottom="0.39370078740157483" header="0" footer="0"/>
  <pageSetup paperSize="9" scale="80" orientation="landscape" r:id="rId1"/>
  <headerFooter>
    <oddFooter>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A1:F14"/>
  <sheetViews>
    <sheetView showGridLines="0" zoomScale="85" zoomScaleNormal="85" workbookViewId="0">
      <selection activeCell="H13" sqref="H13"/>
    </sheetView>
  </sheetViews>
  <sheetFormatPr defaultColWidth="9.109375" defaultRowHeight="21"/>
  <cols>
    <col min="1" max="4" width="34.109375" style="1" customWidth="1"/>
    <col min="5" max="5" width="1.44140625" style="1" customWidth="1"/>
    <col min="6" max="6" width="9.6640625" style="1" customWidth="1"/>
    <col min="7" max="7" width="23.109375" style="1" customWidth="1"/>
    <col min="8" max="8" width="33.109375" style="1" customWidth="1"/>
    <col min="9" max="9" width="96.5546875" style="1" customWidth="1"/>
    <col min="10" max="10" width="9.109375" style="1" customWidth="1"/>
    <col min="11" max="16384" width="9.109375" style="1"/>
  </cols>
  <sheetData>
    <row r="1" spans="1:6" ht="13.8" customHeight="1">
      <c r="A1" s="187">
        <f>CAPA!C26</f>
        <v>0</v>
      </c>
      <c r="B1" s="188"/>
      <c r="C1" s="188"/>
      <c r="D1" s="188"/>
      <c r="F1" s="191"/>
    </row>
    <row r="2" spans="1:6" ht="13.8" customHeight="1">
      <c r="A2" s="188"/>
      <c r="B2" s="188"/>
      <c r="C2" s="188"/>
      <c r="D2" s="188"/>
      <c r="F2" s="188"/>
    </row>
    <row r="3" spans="1:6" ht="13.8" customHeight="1" thickBot="1">
      <c r="A3" s="188"/>
      <c r="B3" s="188"/>
      <c r="C3" s="188"/>
      <c r="D3" s="188"/>
      <c r="F3" s="188"/>
    </row>
    <row r="4" spans="1:6" ht="22.2" customHeight="1" thickTop="1" thickBot="1">
      <c r="A4" s="27" t="s">
        <v>16</v>
      </c>
      <c r="B4" s="28">
        <f ca="1">TODAY()</f>
        <v>46036</v>
      </c>
      <c r="C4" s="28"/>
      <c r="D4" s="28"/>
      <c r="F4" s="188"/>
    </row>
    <row r="5" spans="1:6" ht="21.6" customHeight="1" thickBot="1">
      <c r="A5" s="206" t="s">
        <v>17</v>
      </c>
      <c r="B5" s="207"/>
      <c r="C5" s="207"/>
      <c r="D5" s="208"/>
      <c r="F5" s="188"/>
    </row>
    <row r="6" spans="1:6" ht="21.6" customHeight="1" thickBot="1">
      <c r="A6" s="19" t="s">
        <v>18</v>
      </c>
      <c r="B6" s="20"/>
      <c r="C6" s="21">
        <f ca="1">(INT(B4-B6)/365.25)</f>
        <v>126.03969883641342</v>
      </c>
      <c r="D6" s="22" t="s">
        <v>19</v>
      </c>
      <c r="F6" s="188"/>
    </row>
    <row r="7" spans="1:6" ht="21.6" customHeight="1" thickBot="1">
      <c r="A7" s="23" t="s">
        <v>20</v>
      </c>
      <c r="B7" s="24"/>
      <c r="C7" s="181"/>
      <c r="D7" s="181"/>
      <c r="F7" s="188"/>
    </row>
    <row r="8" spans="1:6" ht="21.6" customHeight="1" thickBot="1">
      <c r="A8" s="19" t="s">
        <v>21</v>
      </c>
      <c r="B8" s="25" t="s">
        <v>22</v>
      </c>
      <c r="C8" s="80"/>
      <c r="D8" s="80"/>
      <c r="F8" s="188"/>
    </row>
    <row r="9" spans="1:6" ht="21.6" customHeight="1" thickBot="1">
      <c r="A9" s="23" t="s">
        <v>23</v>
      </c>
      <c r="B9" s="209"/>
      <c r="C9" s="202"/>
      <c r="D9" s="203"/>
      <c r="F9" s="188"/>
    </row>
    <row r="10" spans="1:6" ht="21.6" customHeight="1" thickBot="1">
      <c r="A10" s="19" t="s">
        <v>24</v>
      </c>
      <c r="B10" s="201" t="s">
        <v>25</v>
      </c>
      <c r="C10" s="202"/>
      <c r="D10" s="203"/>
      <c r="F10" s="188"/>
    </row>
    <row r="11" spans="1:6" ht="21.6" customHeight="1" thickBot="1">
      <c r="A11" s="23" t="s">
        <v>26</v>
      </c>
      <c r="B11" s="204" t="s">
        <v>27</v>
      </c>
      <c r="C11" s="202"/>
      <c r="D11" s="203"/>
      <c r="F11" s="188"/>
    </row>
    <row r="12" spans="1:6" ht="21.6" customHeight="1" thickBot="1">
      <c r="A12" s="19" t="s">
        <v>28</v>
      </c>
      <c r="B12" s="26" t="s">
        <v>27</v>
      </c>
      <c r="C12" s="205"/>
      <c r="D12" s="202"/>
      <c r="F12" s="188"/>
    </row>
    <row r="13" spans="1:6" ht="21.6" customHeight="1" thickBot="1">
      <c r="A13" s="23" t="s">
        <v>29</v>
      </c>
      <c r="B13" s="210" t="s">
        <v>30</v>
      </c>
      <c r="C13" s="202"/>
      <c r="D13" s="202"/>
      <c r="F13" s="188"/>
    </row>
    <row r="14" spans="1:6">
      <c r="A14" s="15"/>
      <c r="B14" s="16"/>
      <c r="C14" s="17"/>
    </row>
  </sheetData>
  <mergeCells count="8">
    <mergeCell ref="B10:D10"/>
    <mergeCell ref="B11:D11"/>
    <mergeCell ref="C12:D12"/>
    <mergeCell ref="A5:D5"/>
    <mergeCell ref="F1:F13"/>
    <mergeCell ref="A1:D3"/>
    <mergeCell ref="B9:D9"/>
    <mergeCell ref="B13:D13"/>
  </mergeCells>
  <printOptions horizontalCentered="1" verticalCentered="1"/>
  <pageMargins left="0.51181102362204722" right="0.51181102362204722" top="0.19685039370078741" bottom="0.39370078740157483" header="0" footer="0"/>
  <pageSetup paperSize="9" scale="92" orientation="landscape" r:id="rId1"/>
  <headerFooter>
    <oddFooter>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A1:F28"/>
  <sheetViews>
    <sheetView showGridLines="0" zoomScale="85" zoomScaleNormal="85" workbookViewId="0">
      <selection activeCell="D28" sqref="D28"/>
    </sheetView>
  </sheetViews>
  <sheetFormatPr defaultColWidth="9.109375" defaultRowHeight="21"/>
  <cols>
    <col min="1" max="4" width="34.109375" style="1" customWidth="1"/>
    <col min="5" max="5" width="1.44140625" style="1" customWidth="1"/>
    <col min="6" max="6" width="9.6640625" style="1" customWidth="1"/>
    <col min="7" max="7" width="9.109375" style="1" customWidth="1"/>
    <col min="8" max="16384" width="9.109375" style="1"/>
  </cols>
  <sheetData>
    <row r="1" spans="1:6" ht="13.8" customHeight="1">
      <c r="A1" s="187">
        <f>CAPA!C26</f>
        <v>0</v>
      </c>
      <c r="B1" s="188"/>
      <c r="C1" s="188"/>
      <c r="D1" s="188"/>
      <c r="F1" s="191"/>
    </row>
    <row r="2" spans="1:6" ht="13.8" customHeight="1">
      <c r="A2" s="188"/>
      <c r="B2" s="188"/>
      <c r="C2" s="188"/>
      <c r="D2" s="188"/>
      <c r="F2" s="191"/>
    </row>
    <row r="3" spans="1:6" ht="13.8" customHeight="1" thickBot="1">
      <c r="A3" s="188"/>
      <c r="B3" s="188"/>
      <c r="C3" s="188"/>
      <c r="D3" s="188"/>
      <c r="F3" s="191"/>
    </row>
    <row r="4" spans="1:6" ht="21.6" customHeight="1" thickTop="1">
      <c r="A4" s="189" t="s">
        <v>31</v>
      </c>
      <c r="B4" s="190"/>
      <c r="C4" s="190"/>
      <c r="D4" s="190"/>
      <c r="F4" s="191"/>
    </row>
    <row r="5" spans="1:6">
      <c r="A5" s="2"/>
      <c r="B5" s="3"/>
      <c r="C5" s="3"/>
      <c r="D5" s="3"/>
      <c r="F5" s="191"/>
    </row>
    <row r="6" spans="1:6">
      <c r="A6" s="5"/>
      <c r="B6" s="5"/>
      <c r="C6" s="5"/>
      <c r="D6" s="5"/>
      <c r="F6" s="191"/>
    </row>
    <row r="7" spans="1:6">
      <c r="A7" s="5"/>
      <c r="B7" s="5"/>
      <c r="C7" s="5"/>
      <c r="D7" s="5"/>
      <c r="F7" s="191"/>
    </row>
    <row r="8" spans="1:6">
      <c r="A8" s="2"/>
      <c r="B8" s="4"/>
      <c r="C8" s="2"/>
      <c r="D8" s="2"/>
      <c r="F8" s="191"/>
    </row>
    <row r="9" spans="1:6">
      <c r="A9" s="2"/>
      <c r="B9" s="4"/>
      <c r="C9" s="2"/>
      <c r="D9" s="2"/>
      <c r="F9" s="191"/>
    </row>
    <row r="10" spans="1:6">
      <c r="A10" s="2"/>
      <c r="B10" s="4"/>
      <c r="C10" s="2"/>
      <c r="D10" s="2"/>
      <c r="F10" s="191"/>
    </row>
    <row r="11" spans="1:6">
      <c r="A11" s="2"/>
      <c r="B11" s="4"/>
      <c r="C11" s="2"/>
      <c r="D11" s="2"/>
      <c r="F11" s="191"/>
    </row>
    <row r="12" spans="1:6">
      <c r="A12" s="2"/>
      <c r="B12" s="4"/>
      <c r="C12" s="2"/>
      <c r="D12" s="2"/>
      <c r="F12" s="191"/>
    </row>
    <row r="13" spans="1:6">
      <c r="F13" s="191"/>
    </row>
    <row r="14" spans="1:6">
      <c r="F14" s="191"/>
    </row>
    <row r="15" spans="1:6">
      <c r="F15" s="191"/>
    </row>
    <row r="16" spans="1:6">
      <c r="F16" s="191"/>
    </row>
    <row r="17" spans="1:6">
      <c r="F17" s="191"/>
    </row>
    <row r="18" spans="1:6">
      <c r="F18" s="191"/>
    </row>
    <row r="19" spans="1:6">
      <c r="F19" s="191"/>
    </row>
    <row r="20" spans="1:6">
      <c r="F20" s="191"/>
    </row>
    <row r="21" spans="1:6" ht="21.6" customHeight="1" thickBot="1">
      <c r="A21" s="211"/>
      <c r="B21" s="195"/>
      <c r="C21" s="195"/>
      <c r="D21" s="195"/>
      <c r="F21" s="191"/>
    </row>
    <row r="22" spans="1:6" ht="22.2" customHeight="1" thickTop="1" thickBot="1">
      <c r="A22" s="29"/>
      <c r="B22" s="30"/>
      <c r="C22" s="31"/>
      <c r="D22" s="32"/>
      <c r="F22" s="191"/>
    </row>
    <row r="23" spans="1:6" ht="21.6" customHeight="1" thickBot="1">
      <c r="A23" s="33"/>
      <c r="B23" s="34"/>
      <c r="C23" s="35"/>
      <c r="D23" s="36"/>
      <c r="F23" s="191"/>
    </row>
    <row r="24" spans="1:6">
      <c r="A24" s="15"/>
      <c r="B24" s="16"/>
      <c r="C24" s="17"/>
      <c r="F24" s="191"/>
    </row>
    <row r="25" spans="1:6">
      <c r="A25" s="15"/>
      <c r="B25" s="16"/>
      <c r="C25" s="17"/>
      <c r="F25" s="191"/>
    </row>
    <row r="26" spans="1:6">
      <c r="F26" s="191"/>
    </row>
    <row r="27" spans="1:6">
      <c r="F27" s="191"/>
    </row>
    <row r="28" spans="1:6">
      <c r="F28" s="191"/>
    </row>
  </sheetData>
  <mergeCells count="4">
    <mergeCell ref="A1:D3"/>
    <mergeCell ref="A4:D4"/>
    <mergeCell ref="A21:D21"/>
    <mergeCell ref="F1:F28"/>
  </mergeCells>
  <printOptions horizontalCentered="1" verticalCentered="1"/>
  <pageMargins left="0.51181102362204722" right="0.51181102362204722" top="0.19685039370078741" bottom="0.39370078740157483" header="0" footer="0"/>
  <pageSetup paperSize="9" scale="92" orientation="landscape" r:id="rId1"/>
  <headerFooter>
    <oddFooter>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6D4E-9D7B-45F4-8F14-72D01E88A42F}">
  <sheetPr>
    <tabColor theme="1"/>
    <pageSetUpPr fitToPage="1"/>
  </sheetPr>
  <dimension ref="A1:F28"/>
  <sheetViews>
    <sheetView showGridLines="0" zoomScale="85" zoomScaleNormal="85" workbookViewId="0">
      <selection activeCell="A5" activeCellId="1" sqref="D28 A5"/>
    </sheetView>
  </sheetViews>
  <sheetFormatPr defaultColWidth="9.109375" defaultRowHeight="21"/>
  <cols>
    <col min="1" max="4" width="34.109375" style="1" customWidth="1"/>
    <col min="5" max="5" width="1.44140625" style="1" customWidth="1"/>
    <col min="6" max="6" width="9.6640625" style="1" customWidth="1"/>
    <col min="7" max="7" width="9.109375" style="1" customWidth="1"/>
    <col min="8" max="16384" width="9.109375" style="1"/>
  </cols>
  <sheetData>
    <row r="1" spans="1:6" ht="13.8" customHeight="1">
      <c r="A1" s="187">
        <f>CAPA!C26</f>
        <v>0</v>
      </c>
      <c r="B1" s="188"/>
      <c r="C1" s="188"/>
      <c r="D1" s="188"/>
      <c r="F1" s="191"/>
    </row>
    <row r="2" spans="1:6" ht="13.8" customHeight="1">
      <c r="A2" s="188"/>
      <c r="B2" s="188"/>
      <c r="C2" s="188"/>
      <c r="D2" s="188"/>
      <c r="F2" s="191"/>
    </row>
    <row r="3" spans="1:6" ht="13.8" customHeight="1" thickBot="1">
      <c r="A3" s="188"/>
      <c r="B3" s="188"/>
      <c r="C3" s="188"/>
      <c r="D3" s="188"/>
      <c r="F3" s="191"/>
    </row>
    <row r="4" spans="1:6" ht="21.6" customHeight="1" thickTop="1">
      <c r="A4" s="189" t="s">
        <v>31</v>
      </c>
      <c r="B4" s="190"/>
      <c r="C4" s="190"/>
      <c r="D4" s="190"/>
      <c r="F4" s="191"/>
    </row>
    <row r="5" spans="1:6">
      <c r="A5" s="2"/>
      <c r="B5" s="3"/>
      <c r="C5" s="3"/>
      <c r="D5" s="3"/>
      <c r="F5" s="191"/>
    </row>
    <row r="6" spans="1:6">
      <c r="A6" s="5"/>
      <c r="B6" s="5"/>
      <c r="C6" s="5"/>
      <c r="D6" s="5"/>
      <c r="F6" s="191"/>
    </row>
    <row r="7" spans="1:6">
      <c r="A7" s="5"/>
      <c r="B7" s="5"/>
      <c r="C7" s="5"/>
      <c r="D7" s="5"/>
      <c r="F7" s="191"/>
    </row>
    <row r="8" spans="1:6">
      <c r="A8" s="2"/>
      <c r="B8" s="4"/>
      <c r="C8" s="2"/>
      <c r="D8" s="2"/>
      <c r="F8" s="191"/>
    </row>
    <row r="9" spans="1:6">
      <c r="A9" s="2"/>
      <c r="B9" s="4"/>
      <c r="C9" s="2"/>
      <c r="D9" s="2"/>
      <c r="F9" s="191"/>
    </row>
    <row r="10" spans="1:6">
      <c r="A10" s="2"/>
      <c r="B10" s="4"/>
      <c r="C10" s="2"/>
      <c r="D10" s="2"/>
      <c r="F10" s="191"/>
    </row>
    <row r="11" spans="1:6">
      <c r="A11" s="2"/>
      <c r="B11" s="4"/>
      <c r="C11" s="2"/>
      <c r="D11" s="2"/>
      <c r="F11" s="191"/>
    </row>
    <row r="12" spans="1:6">
      <c r="A12" s="2"/>
      <c r="B12" s="4"/>
      <c r="C12" s="2"/>
      <c r="D12" s="2"/>
      <c r="F12" s="191"/>
    </row>
    <row r="13" spans="1:6">
      <c r="A13" s="2"/>
      <c r="B13" s="4"/>
      <c r="C13" s="2"/>
      <c r="D13" s="2"/>
      <c r="F13" s="191"/>
    </row>
    <row r="14" spans="1:6">
      <c r="A14" s="2"/>
      <c r="B14" s="4"/>
      <c r="C14" s="2"/>
      <c r="D14" s="2"/>
      <c r="F14" s="191"/>
    </row>
    <row r="15" spans="1:6">
      <c r="A15" s="2"/>
      <c r="B15" s="4"/>
      <c r="C15" s="2"/>
      <c r="D15" s="2"/>
      <c r="F15" s="191"/>
    </row>
    <row r="16" spans="1:6">
      <c r="A16" s="2"/>
      <c r="B16" s="4"/>
      <c r="C16" s="2"/>
      <c r="D16" s="2"/>
      <c r="F16" s="191"/>
    </row>
    <row r="17" spans="1:6">
      <c r="A17" s="2"/>
      <c r="B17" s="4"/>
      <c r="C17" s="2"/>
      <c r="D17" s="2"/>
      <c r="F17" s="191"/>
    </row>
    <row r="18" spans="1:6">
      <c r="A18" s="2"/>
      <c r="B18" s="4"/>
      <c r="C18" s="2"/>
      <c r="D18" s="2"/>
      <c r="F18" s="191"/>
    </row>
    <row r="19" spans="1:6">
      <c r="A19" s="2"/>
      <c r="B19" s="4"/>
      <c r="C19" s="2"/>
      <c r="D19" s="2"/>
      <c r="F19" s="191"/>
    </row>
    <row r="20" spans="1:6">
      <c r="F20" s="191"/>
    </row>
    <row r="21" spans="1:6" ht="21.6" customHeight="1" thickBot="1">
      <c r="A21" s="211"/>
      <c r="B21" s="195"/>
      <c r="C21" s="195"/>
      <c r="D21" s="195"/>
      <c r="F21" s="191"/>
    </row>
    <row r="22" spans="1:6" ht="22.2" customHeight="1" thickTop="1" thickBot="1">
      <c r="A22" s="29"/>
      <c r="B22" s="30"/>
      <c r="C22" s="31"/>
      <c r="D22" s="32"/>
      <c r="F22" s="191"/>
    </row>
    <row r="23" spans="1:6" ht="21.6" customHeight="1" thickBot="1">
      <c r="A23" s="33"/>
      <c r="B23" s="34"/>
      <c r="C23" s="35"/>
      <c r="D23" s="36"/>
      <c r="F23" s="191"/>
    </row>
    <row r="24" spans="1:6">
      <c r="A24" s="15"/>
      <c r="B24" s="16"/>
      <c r="C24" s="17"/>
      <c r="F24" s="191"/>
    </row>
    <row r="25" spans="1:6">
      <c r="A25" s="15"/>
      <c r="B25" s="16"/>
      <c r="C25" s="17"/>
      <c r="F25" s="191"/>
    </row>
    <row r="26" spans="1:6">
      <c r="F26" s="191"/>
    </row>
    <row r="27" spans="1:6">
      <c r="F27" s="191"/>
    </row>
    <row r="28" spans="1:6">
      <c r="F28" s="191"/>
    </row>
  </sheetData>
  <mergeCells count="4">
    <mergeCell ref="A1:D3"/>
    <mergeCell ref="F1:F28"/>
    <mergeCell ref="A4:D4"/>
    <mergeCell ref="A21:D21"/>
  </mergeCells>
  <printOptions horizontalCentered="1" verticalCentered="1"/>
  <pageMargins left="0.51181102362204722" right="0.51181102362204722" top="0.19685039370078741" bottom="0.39370078740157483" header="0" footer="0"/>
  <pageSetup paperSize="9" scale="92" orientation="landscape" r:id="rId1"/>
  <headerFooter>
    <oddFooter>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A1:F24"/>
  <sheetViews>
    <sheetView showGridLines="0" zoomScale="85" zoomScaleNormal="85" workbookViewId="0">
      <selection activeCell="K37" sqref="K37"/>
    </sheetView>
  </sheetViews>
  <sheetFormatPr defaultColWidth="9.109375" defaultRowHeight="21"/>
  <cols>
    <col min="1" max="4" width="34.109375" style="1" customWidth="1"/>
    <col min="5" max="5" width="1.44140625" style="1" customWidth="1"/>
    <col min="6" max="6" width="9.6640625" style="1" customWidth="1"/>
    <col min="7" max="7" width="9.109375" style="1" customWidth="1"/>
    <col min="8" max="16384" width="9.109375" style="1"/>
  </cols>
  <sheetData>
    <row r="1" spans="1:6" ht="13.8" customHeight="1">
      <c r="A1" s="187">
        <f>CAPA!C26</f>
        <v>0</v>
      </c>
      <c r="B1" s="188"/>
      <c r="C1" s="188"/>
      <c r="D1" s="188"/>
      <c r="F1" s="191"/>
    </row>
    <row r="2" spans="1:6" ht="13.8" customHeight="1">
      <c r="A2" s="188"/>
      <c r="B2" s="188"/>
      <c r="C2" s="188"/>
      <c r="D2" s="188"/>
      <c r="F2" s="188"/>
    </row>
    <row r="3" spans="1:6" ht="13.8" customHeight="1" thickBot="1">
      <c r="A3" s="188"/>
      <c r="B3" s="188"/>
      <c r="C3" s="188"/>
      <c r="D3" s="188"/>
      <c r="F3" s="188"/>
    </row>
    <row r="4" spans="1:6" ht="21.6" customHeight="1" thickTop="1">
      <c r="A4" s="189" t="s">
        <v>32</v>
      </c>
      <c r="B4" s="190"/>
      <c r="C4" s="190"/>
      <c r="D4" s="190"/>
      <c r="F4" s="188"/>
    </row>
    <row r="5" spans="1:6">
      <c r="A5" s="2"/>
      <c r="B5" s="3"/>
      <c r="C5" s="3"/>
      <c r="D5" s="3"/>
      <c r="F5" s="188"/>
    </row>
    <row r="6" spans="1:6">
      <c r="A6" s="5"/>
      <c r="B6" s="5"/>
      <c r="C6" s="5"/>
      <c r="D6" s="5"/>
      <c r="F6" s="188"/>
    </row>
    <row r="7" spans="1:6">
      <c r="A7" s="5"/>
      <c r="B7" s="5"/>
      <c r="C7" s="5"/>
      <c r="D7" s="5"/>
      <c r="F7" s="188"/>
    </row>
    <row r="8" spans="1:6">
      <c r="A8" s="2"/>
      <c r="B8" s="4"/>
      <c r="C8" s="2"/>
      <c r="D8" s="2"/>
      <c r="F8" s="188"/>
    </row>
    <row r="9" spans="1:6">
      <c r="A9" s="2"/>
      <c r="B9" s="4"/>
      <c r="C9" s="2"/>
      <c r="D9" s="2"/>
      <c r="F9" s="188"/>
    </row>
    <row r="10" spans="1:6">
      <c r="A10" s="2"/>
      <c r="B10" s="4"/>
      <c r="C10" s="2"/>
      <c r="D10" s="2"/>
      <c r="F10" s="188"/>
    </row>
    <row r="11" spans="1:6">
      <c r="A11" s="2"/>
      <c r="B11" s="4"/>
      <c r="C11" s="2"/>
      <c r="D11" s="2"/>
      <c r="F11" s="188"/>
    </row>
    <row r="12" spans="1:6">
      <c r="A12" s="2"/>
      <c r="B12" s="4"/>
      <c r="C12" s="2"/>
      <c r="D12" s="2"/>
      <c r="F12" s="188"/>
    </row>
    <row r="13" spans="1:6">
      <c r="F13" s="188"/>
    </row>
    <row r="14" spans="1:6" ht="21.6" customHeight="1" thickBot="1">
      <c r="A14" s="211"/>
      <c r="B14" s="195"/>
      <c r="C14" s="195"/>
      <c r="D14" s="195"/>
      <c r="F14" s="188"/>
    </row>
    <row r="15" spans="1:6" ht="22.2" customHeight="1" thickTop="1" thickBot="1">
      <c r="A15" s="29"/>
      <c r="B15" s="30"/>
      <c r="C15" s="31"/>
      <c r="D15" s="32"/>
      <c r="F15" s="188"/>
    </row>
    <row r="16" spans="1:6" ht="21.6" customHeight="1" thickBot="1">
      <c r="A16" s="33"/>
      <c r="B16" s="34"/>
      <c r="C16" s="35"/>
      <c r="D16" s="36"/>
      <c r="F16" s="188"/>
    </row>
    <row r="17" spans="1:6" s="13" customFormat="1" ht="21.6" customHeight="1" thickBot="1">
      <c r="A17" s="29"/>
      <c r="B17" s="30"/>
      <c r="C17" s="31"/>
      <c r="D17" s="32"/>
      <c r="F17" s="192"/>
    </row>
    <row r="18" spans="1:6">
      <c r="A18" s="5"/>
      <c r="B18" s="14"/>
      <c r="C18" s="14"/>
      <c r="D18" s="14"/>
      <c r="F18" s="188"/>
    </row>
    <row r="19" spans="1:6" ht="21.6" customHeight="1" thickBot="1">
      <c r="A19" s="212"/>
      <c r="B19" s="195"/>
      <c r="C19" s="195"/>
      <c r="D19" s="195"/>
      <c r="F19" s="188"/>
    </row>
    <row r="20" spans="1:6" ht="21.6" customHeight="1" thickTop="1">
      <c r="A20" s="15"/>
      <c r="B20" s="16"/>
      <c r="C20" s="17"/>
    </row>
    <row r="21" spans="1:6">
      <c r="A21" s="15"/>
      <c r="B21" s="16"/>
      <c r="C21" s="17"/>
    </row>
    <row r="22" spans="1:6">
      <c r="A22" s="15"/>
      <c r="B22" s="16"/>
      <c r="C22" s="17"/>
    </row>
    <row r="23" spans="1:6">
      <c r="A23" s="15"/>
      <c r="B23" s="16"/>
      <c r="C23" s="17"/>
    </row>
    <row r="24" spans="1:6">
      <c r="A24" s="15"/>
      <c r="B24" s="16"/>
      <c r="C24" s="17"/>
    </row>
  </sheetData>
  <mergeCells count="5">
    <mergeCell ref="A1:D3"/>
    <mergeCell ref="A4:D4"/>
    <mergeCell ref="A19:D19"/>
    <mergeCell ref="F1:F19"/>
    <mergeCell ref="A14:D14"/>
  </mergeCells>
  <printOptions horizontalCentered="1" verticalCentered="1"/>
  <pageMargins left="0.51181102362204722" right="0.51181102362204722" top="0.19685039370078741" bottom="0.39370078740157483" header="0" footer="0"/>
  <pageSetup paperSize="9" scale="92" orientation="landscape" r:id="rId1"/>
  <headerFooter>
    <oddFooter>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  <pageSetUpPr fitToPage="1"/>
  </sheetPr>
  <dimension ref="A1:F24"/>
  <sheetViews>
    <sheetView showGridLines="0" zoomScale="85" zoomScaleNormal="85" workbookViewId="0">
      <selection activeCell="B11" sqref="B11"/>
    </sheetView>
  </sheetViews>
  <sheetFormatPr defaultColWidth="9.109375" defaultRowHeight="21"/>
  <cols>
    <col min="1" max="4" width="34.109375" style="1" customWidth="1"/>
    <col min="5" max="5" width="1.44140625" style="1" customWidth="1"/>
    <col min="6" max="6" width="9.6640625" style="1" customWidth="1"/>
    <col min="7" max="7" width="9.109375" style="1" customWidth="1"/>
    <col min="8" max="16384" width="9.109375" style="1"/>
  </cols>
  <sheetData>
    <row r="1" spans="1:6" ht="13.8" customHeight="1">
      <c r="A1" s="187">
        <f>CAPA!C26</f>
        <v>0</v>
      </c>
      <c r="B1" s="188"/>
      <c r="C1" s="188"/>
      <c r="D1" s="188"/>
      <c r="F1" s="191"/>
    </row>
    <row r="2" spans="1:6" ht="13.8" customHeight="1">
      <c r="A2" s="188"/>
      <c r="B2" s="188"/>
      <c r="C2" s="188"/>
      <c r="D2" s="188"/>
      <c r="F2" s="191"/>
    </row>
    <row r="3" spans="1:6" ht="13.8" customHeight="1" thickBot="1">
      <c r="A3" s="188"/>
      <c r="B3" s="188"/>
      <c r="C3" s="188"/>
      <c r="D3" s="188"/>
      <c r="F3" s="191"/>
    </row>
    <row r="4" spans="1:6" ht="21.6" customHeight="1" thickTop="1">
      <c r="A4" s="189" t="s">
        <v>33</v>
      </c>
      <c r="B4" s="190"/>
      <c r="C4" s="190"/>
      <c r="D4" s="190"/>
      <c r="F4" s="191"/>
    </row>
    <row r="5" spans="1:6">
      <c r="A5" s="2"/>
      <c r="B5" s="3"/>
      <c r="C5" s="3"/>
      <c r="D5" s="3"/>
      <c r="F5" s="191"/>
    </row>
    <row r="6" spans="1:6">
      <c r="A6" s="2"/>
      <c r="B6" s="3"/>
      <c r="C6" s="3"/>
      <c r="D6" s="3"/>
      <c r="F6" s="191"/>
    </row>
    <row r="7" spans="1:6">
      <c r="A7" s="2"/>
      <c r="B7" s="3"/>
      <c r="C7" s="3"/>
      <c r="D7" s="3"/>
      <c r="F7" s="191"/>
    </row>
    <row r="8" spans="1:6">
      <c r="A8" s="2"/>
      <c r="B8" s="3"/>
      <c r="C8" s="3"/>
      <c r="D8" s="3"/>
      <c r="F8" s="191"/>
    </row>
    <row r="9" spans="1:6">
      <c r="A9" s="2"/>
      <c r="B9" s="3"/>
      <c r="C9" s="3"/>
      <c r="D9" s="3"/>
      <c r="F9" s="191"/>
    </row>
    <row r="10" spans="1:6">
      <c r="A10" s="2"/>
      <c r="B10" s="3"/>
      <c r="C10" s="3"/>
      <c r="D10" s="3"/>
      <c r="F10" s="191"/>
    </row>
    <row r="11" spans="1:6">
      <c r="A11" s="2"/>
      <c r="B11" s="3"/>
      <c r="C11" s="3"/>
      <c r="D11" s="3"/>
      <c r="F11" s="191"/>
    </row>
    <row r="12" spans="1:6">
      <c r="A12" s="2"/>
      <c r="B12" s="3"/>
      <c r="C12" s="3"/>
      <c r="D12" s="3"/>
      <c r="F12" s="191"/>
    </row>
    <row r="13" spans="1:6">
      <c r="A13" s="2"/>
      <c r="B13" s="3"/>
      <c r="C13" s="3"/>
      <c r="D13" s="3"/>
      <c r="F13" s="191"/>
    </row>
    <row r="14" spans="1:6" ht="21.6" customHeight="1">
      <c r="A14" s="2"/>
      <c r="B14" s="3"/>
      <c r="C14" s="3"/>
      <c r="D14" s="3"/>
      <c r="F14" s="191"/>
    </row>
    <row r="15" spans="1:6" ht="22.2" customHeight="1">
      <c r="A15" s="2"/>
      <c r="B15" s="3"/>
      <c r="C15" s="3"/>
      <c r="D15" s="3"/>
      <c r="F15" s="191"/>
    </row>
    <row r="16" spans="1:6" ht="21.6" customHeight="1">
      <c r="A16" s="2"/>
      <c r="B16" s="3"/>
      <c r="C16" s="3"/>
      <c r="D16" s="3"/>
      <c r="F16" s="191"/>
    </row>
    <row r="17" spans="1:6" s="13" customFormat="1" ht="21.6" customHeight="1">
      <c r="A17" s="2"/>
      <c r="B17" s="3"/>
      <c r="C17" s="3"/>
      <c r="D17" s="3"/>
      <c r="F17" s="191"/>
    </row>
    <row r="18" spans="1:6">
      <c r="A18" s="2"/>
      <c r="B18" s="3"/>
      <c r="C18" s="3"/>
      <c r="D18" s="3"/>
      <c r="F18" s="191"/>
    </row>
    <row r="19" spans="1:6" ht="21.6" customHeight="1">
      <c r="A19" s="2"/>
      <c r="B19" s="3"/>
      <c r="C19" s="3"/>
      <c r="D19" s="3"/>
      <c r="F19" s="191"/>
    </row>
    <row r="20" spans="1:6" ht="21.6" customHeight="1">
      <c r="A20" s="2"/>
      <c r="B20" s="3"/>
      <c r="C20" s="3"/>
      <c r="D20" s="3"/>
      <c r="F20" s="191"/>
    </row>
    <row r="21" spans="1:6">
      <c r="A21" s="2"/>
      <c r="B21" s="3"/>
      <c r="C21" s="3"/>
      <c r="D21" s="3"/>
      <c r="F21" s="191"/>
    </row>
    <row r="22" spans="1:6">
      <c r="A22" s="2"/>
      <c r="B22" s="3"/>
      <c r="C22" s="3"/>
      <c r="D22" s="3"/>
      <c r="F22" s="191"/>
    </row>
    <row r="24" spans="1:6">
      <c r="A24" s="15"/>
      <c r="B24" s="16"/>
      <c r="C24" s="17"/>
    </row>
  </sheetData>
  <mergeCells count="3">
    <mergeCell ref="A1:D3"/>
    <mergeCell ref="A4:D4"/>
    <mergeCell ref="F1:F22"/>
  </mergeCells>
  <printOptions horizontalCentered="1" verticalCentered="1"/>
  <pageMargins left="0.51181102362204722" right="0.51181102362204722" top="0.19685039370078741" bottom="0.39370078740157483" header="0" footer="0"/>
  <pageSetup paperSize="9" scale="92" orientation="landscape" r:id="rId1"/>
  <headerFooter>
    <oddFooter>&amp;R&amp;G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  <pageSetUpPr fitToPage="1"/>
  </sheetPr>
  <dimension ref="A1:F20"/>
  <sheetViews>
    <sheetView showGridLines="0" zoomScale="85" zoomScaleNormal="85" workbookViewId="0">
      <selection activeCell="A21" sqref="A21"/>
    </sheetView>
  </sheetViews>
  <sheetFormatPr defaultColWidth="9.109375" defaultRowHeight="21"/>
  <cols>
    <col min="1" max="1" width="64.109375" style="1" customWidth="1"/>
    <col min="2" max="2" width="11.88671875" style="1" bestFit="1" customWidth="1"/>
    <col min="3" max="3" width="20.21875" style="1" bestFit="1" customWidth="1"/>
    <col min="4" max="4" width="34.109375" style="1" customWidth="1"/>
    <col min="5" max="5" width="1.33203125" style="1" customWidth="1"/>
    <col min="6" max="6" width="9.6640625" style="1" customWidth="1"/>
    <col min="7" max="7" width="9.109375" style="1" customWidth="1"/>
    <col min="8" max="16384" width="9.109375" style="1"/>
  </cols>
  <sheetData>
    <row r="1" spans="1:6" ht="13.8" customHeight="1">
      <c r="A1" s="187">
        <f>CAPA!C26</f>
        <v>0</v>
      </c>
      <c r="B1" s="188"/>
      <c r="C1" s="188"/>
      <c r="D1" s="188"/>
      <c r="E1" s="43"/>
      <c r="F1" s="191"/>
    </row>
    <row r="2" spans="1:6" ht="13.8" customHeight="1">
      <c r="A2" s="188"/>
      <c r="B2" s="188"/>
      <c r="C2" s="188"/>
      <c r="D2" s="188"/>
      <c r="E2" s="43"/>
      <c r="F2" s="188"/>
    </row>
    <row r="3" spans="1:6" ht="13.8" customHeight="1" thickBot="1">
      <c r="A3" s="188"/>
      <c r="B3" s="188"/>
      <c r="C3" s="188"/>
      <c r="D3" s="188"/>
      <c r="E3" s="43"/>
      <c r="F3" s="188"/>
    </row>
    <row r="4" spans="1:6" ht="21.6" customHeight="1" thickTop="1" thickBot="1">
      <c r="A4" s="189" t="s">
        <v>34</v>
      </c>
      <c r="B4" s="190"/>
      <c r="C4" s="190"/>
      <c r="D4" s="190"/>
      <c r="E4" s="44"/>
      <c r="F4" s="188"/>
    </row>
    <row r="5" spans="1:6" ht="21.6" customHeight="1" thickBot="1">
      <c r="A5" s="37" t="s">
        <v>35</v>
      </c>
      <c r="B5" s="37" t="s">
        <v>36</v>
      </c>
      <c r="C5" s="37" t="s">
        <v>37</v>
      </c>
      <c r="D5" s="37" t="s">
        <v>38</v>
      </c>
      <c r="E5" s="45"/>
      <c r="F5" s="188"/>
    </row>
    <row r="6" spans="1:6" ht="21.6" customHeight="1" thickBot="1">
      <c r="A6" s="38"/>
      <c r="B6" s="39"/>
      <c r="C6" s="38" t="s">
        <v>39</v>
      </c>
      <c r="D6" s="38" t="s">
        <v>40</v>
      </c>
      <c r="E6" s="46"/>
      <c r="F6" s="188"/>
    </row>
    <row r="7" spans="1:6" ht="21.6" customHeight="1" thickBot="1">
      <c r="A7" s="38"/>
      <c r="B7" s="39"/>
      <c r="C7" s="38" t="s">
        <v>39</v>
      </c>
      <c r="D7" s="38" t="s">
        <v>40</v>
      </c>
      <c r="E7" s="46"/>
      <c r="F7" s="188"/>
    </row>
    <row r="8" spans="1:6" ht="21.6" customHeight="1" thickBot="1">
      <c r="A8" s="38"/>
      <c r="B8" s="39"/>
      <c r="C8" s="38" t="s">
        <v>39</v>
      </c>
      <c r="D8" s="38" t="s">
        <v>40</v>
      </c>
      <c r="E8" s="46"/>
      <c r="F8" s="188"/>
    </row>
    <row r="9" spans="1:6" ht="21.6" customHeight="1" thickBot="1">
      <c r="A9" s="38"/>
      <c r="B9" s="39"/>
      <c r="C9" s="38" t="s">
        <v>39</v>
      </c>
      <c r="D9" s="38" t="s">
        <v>40</v>
      </c>
      <c r="E9" s="46"/>
      <c r="F9" s="188"/>
    </row>
    <row r="10" spans="1:6" ht="21.6" customHeight="1" thickBot="1">
      <c r="A10" s="41" t="s">
        <v>41</v>
      </c>
      <c r="B10" s="219" t="s">
        <v>42</v>
      </c>
      <c r="C10" s="202"/>
      <c r="D10" s="49" t="s">
        <v>43</v>
      </c>
      <c r="E10" s="47"/>
      <c r="F10" s="188"/>
    </row>
    <row r="11" spans="1:6" ht="21.6" customHeight="1" thickBot="1">
      <c r="A11" s="41" t="s">
        <v>44</v>
      </c>
      <c r="B11" s="214"/>
      <c r="C11" s="215"/>
      <c r="D11" s="215"/>
      <c r="E11" s="47"/>
      <c r="F11" s="188"/>
    </row>
    <row r="12" spans="1:6" ht="22.2" customHeight="1" thickTop="1" thickBot="1">
      <c r="A12" s="217" t="s">
        <v>45</v>
      </c>
      <c r="B12" s="218"/>
      <c r="C12" s="218"/>
      <c r="D12" s="218"/>
      <c r="E12" s="48"/>
      <c r="F12" s="188"/>
    </row>
    <row r="13" spans="1:6" s="13" customFormat="1" ht="21.6" customHeight="1" thickBot="1">
      <c r="A13" s="216" t="s">
        <v>27</v>
      </c>
      <c r="B13" s="202"/>
      <c r="C13" s="202"/>
      <c r="D13" s="202"/>
      <c r="E13" s="45"/>
      <c r="F13" s="192"/>
    </row>
    <row r="14" spans="1:6">
      <c r="A14" s="5"/>
      <c r="B14" s="14"/>
      <c r="C14" s="14"/>
      <c r="D14" s="14"/>
      <c r="E14" s="14"/>
      <c r="F14" s="188"/>
    </row>
    <row r="15" spans="1:6" ht="21.6" customHeight="1" thickBot="1">
      <c r="A15" s="212"/>
      <c r="B15" s="195"/>
      <c r="C15" s="195"/>
      <c r="D15" s="195"/>
      <c r="E15" s="42"/>
      <c r="F15" s="188"/>
    </row>
    <row r="16" spans="1:6" ht="21.6" customHeight="1" thickTop="1">
      <c r="A16" s="15"/>
      <c r="B16" s="16"/>
      <c r="C16" s="17"/>
    </row>
    <row r="17" spans="1:6">
      <c r="A17" s="213"/>
      <c r="B17" s="188"/>
      <c r="C17" s="188"/>
      <c r="D17" s="188"/>
      <c r="E17" s="188"/>
      <c r="F17" s="188"/>
    </row>
    <row r="18" spans="1:6">
      <c r="A18" s="188"/>
      <c r="B18" s="188"/>
      <c r="C18" s="188"/>
      <c r="D18" s="188"/>
      <c r="E18" s="188"/>
      <c r="F18" s="188"/>
    </row>
    <row r="19" spans="1:6">
      <c r="A19" s="188"/>
      <c r="B19" s="188"/>
      <c r="C19" s="188"/>
      <c r="D19" s="188"/>
      <c r="E19" s="188"/>
      <c r="F19" s="188"/>
    </row>
    <row r="20" spans="1:6">
      <c r="A20" s="15"/>
      <c r="B20" s="16"/>
      <c r="C20" s="17"/>
    </row>
  </sheetData>
  <mergeCells count="9">
    <mergeCell ref="A17:F19"/>
    <mergeCell ref="F1:F15"/>
    <mergeCell ref="A1:D3"/>
    <mergeCell ref="A4:D4"/>
    <mergeCell ref="B11:D11"/>
    <mergeCell ref="A13:D13"/>
    <mergeCell ref="A12:D12"/>
    <mergeCell ref="B10:C10"/>
    <mergeCell ref="A15:D15"/>
  </mergeCells>
  <printOptions horizontalCentered="1" verticalCentered="1"/>
  <pageMargins left="0.51181102362204722" right="0.51181102362204722" top="0.19685039370078741" bottom="0.39370078740157483" header="0" footer="0"/>
  <pageSetup paperSize="9" scale="96" orientation="landscape" r:id="rId1"/>
  <headerFooter>
    <oddFooter>&amp;R&amp;G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A1:D15"/>
  <sheetViews>
    <sheetView showGridLines="0" zoomScale="85" zoomScaleNormal="85" workbookViewId="0">
      <selection activeCell="A8" sqref="A8"/>
    </sheetView>
  </sheetViews>
  <sheetFormatPr defaultColWidth="9.109375" defaultRowHeight="21"/>
  <cols>
    <col min="1" max="2" width="71.5546875" style="1" customWidth="1"/>
    <col min="3" max="3" width="1.33203125" style="1" customWidth="1"/>
    <col min="4" max="4" width="9.6640625" style="1" customWidth="1"/>
    <col min="5" max="5" width="9.109375" style="1" customWidth="1"/>
    <col min="6" max="16384" width="9.109375" style="1"/>
  </cols>
  <sheetData>
    <row r="1" spans="1:4" ht="13.8" customHeight="1">
      <c r="A1" s="187">
        <f>CAPA!C26</f>
        <v>0</v>
      </c>
      <c r="B1" s="188"/>
      <c r="C1" s="43"/>
      <c r="D1" s="191"/>
    </row>
    <row r="2" spans="1:4" ht="13.8" customHeight="1">
      <c r="A2" s="188"/>
      <c r="B2" s="188"/>
      <c r="C2" s="43"/>
      <c r="D2" s="188"/>
    </row>
    <row r="3" spans="1:4" ht="13.8" customHeight="1" thickBot="1">
      <c r="A3" s="188"/>
      <c r="B3" s="188"/>
      <c r="C3" s="43"/>
      <c r="D3" s="188"/>
    </row>
    <row r="4" spans="1:4" ht="21.6" customHeight="1" thickTop="1" thickBot="1">
      <c r="A4" s="189" t="s">
        <v>46</v>
      </c>
      <c r="B4" s="190"/>
      <c r="C4" s="44"/>
      <c r="D4" s="188"/>
    </row>
    <row r="5" spans="1:4" ht="21.6" customHeight="1" thickBot="1">
      <c r="A5" s="220" t="s">
        <v>47</v>
      </c>
      <c r="B5" s="203"/>
      <c r="C5" s="45"/>
      <c r="D5" s="188"/>
    </row>
    <row r="6" spans="1:4" ht="21.6" customHeight="1" thickBot="1">
      <c r="A6" s="38" t="s">
        <v>48</v>
      </c>
      <c r="B6" s="39" t="s">
        <v>49</v>
      </c>
      <c r="C6" s="46"/>
      <c r="D6" s="188"/>
    </row>
    <row r="7" spans="1:4" ht="21.6" customHeight="1" thickBot="1">
      <c r="A7" s="221" t="s">
        <v>120</v>
      </c>
      <c r="B7" s="222"/>
      <c r="C7" s="47"/>
      <c r="D7" s="188"/>
    </row>
    <row r="8" spans="1:4">
      <c r="A8" s="53" t="s">
        <v>50</v>
      </c>
      <c r="B8" s="52">
        <f>SUM(B7:B7)</f>
        <v>0</v>
      </c>
      <c r="C8" s="47"/>
      <c r="D8" s="188"/>
    </row>
    <row r="9" spans="1:4" ht="3" customHeight="1" thickBot="1">
      <c r="A9" s="50"/>
      <c r="B9" s="51"/>
      <c r="C9" s="47"/>
      <c r="D9" s="188"/>
    </row>
    <row r="10" spans="1:4" ht="22.2" customHeight="1" thickTop="1" thickBot="1">
      <c r="A10" s="217"/>
      <c r="B10" s="218"/>
      <c r="C10" s="48"/>
      <c r="D10" s="188"/>
    </row>
    <row r="11" spans="1:4">
      <c r="A11" s="15"/>
      <c r="B11" s="16"/>
    </row>
    <row r="12" spans="1:4">
      <c r="A12" s="213"/>
      <c r="B12" s="188"/>
      <c r="C12" s="188"/>
      <c r="D12" s="188"/>
    </row>
    <row r="13" spans="1:4">
      <c r="A13" s="188"/>
      <c r="B13" s="188"/>
      <c r="C13" s="188"/>
      <c r="D13" s="188"/>
    </row>
    <row r="14" spans="1:4">
      <c r="A14" s="188"/>
      <c r="B14" s="188"/>
      <c r="C14" s="188"/>
      <c r="D14" s="188"/>
    </row>
    <row r="15" spans="1:4">
      <c r="A15" s="15"/>
      <c r="B15" s="16"/>
    </row>
  </sheetData>
  <mergeCells count="7">
    <mergeCell ref="A4:B4"/>
    <mergeCell ref="A5:B5"/>
    <mergeCell ref="D1:D10"/>
    <mergeCell ref="A12:D14"/>
    <mergeCell ref="A10:B10"/>
    <mergeCell ref="A1:B3"/>
    <mergeCell ref="A7:B7"/>
  </mergeCells>
  <printOptions horizontalCentered="1" verticalCentered="1"/>
  <pageMargins left="0.51181102362204722" right="0.51181102362204722" top="0.19685039370078741" bottom="0.39370078740157483" header="0" footer="0"/>
  <pageSetup paperSize="9" scale="88" orientation="landscape" r:id="rId1"/>
  <headerFooter>
    <oddFooter>&amp;R&amp;G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  <pageSetUpPr fitToPage="1"/>
  </sheetPr>
  <dimension ref="A1:H12"/>
  <sheetViews>
    <sheetView showGridLines="0" zoomScale="85" zoomScaleNormal="85" workbookViewId="0">
      <selection activeCell="A7" sqref="A7:B7"/>
    </sheetView>
  </sheetViews>
  <sheetFormatPr defaultColWidth="9.109375" defaultRowHeight="21"/>
  <cols>
    <col min="1" max="1" width="36.33203125" style="1" bestFit="1" customWidth="1"/>
    <col min="2" max="6" width="24.44140625" style="1" customWidth="1"/>
    <col min="7" max="7" width="1.33203125" style="1" customWidth="1"/>
    <col min="8" max="8" width="9.6640625" style="1" customWidth="1"/>
    <col min="9" max="9" width="9.109375" style="1" customWidth="1"/>
    <col min="10" max="16384" width="9.109375" style="1"/>
  </cols>
  <sheetData>
    <row r="1" spans="1:8" ht="13.8" customHeight="1">
      <c r="A1" s="187">
        <f>CAPA!C26</f>
        <v>0</v>
      </c>
      <c r="B1" s="188"/>
      <c r="C1" s="188"/>
      <c r="D1" s="188"/>
      <c r="E1" s="188"/>
      <c r="F1" s="188"/>
      <c r="G1" s="43"/>
      <c r="H1" s="191"/>
    </row>
    <row r="2" spans="1:8" ht="13.8" customHeight="1">
      <c r="A2" s="188"/>
      <c r="B2" s="188"/>
      <c r="C2" s="188"/>
      <c r="D2" s="188"/>
      <c r="E2" s="188"/>
      <c r="F2" s="188"/>
      <c r="G2" s="43"/>
      <c r="H2" s="188"/>
    </row>
    <row r="3" spans="1:8" ht="13.8" customHeight="1" thickBot="1">
      <c r="A3" s="188"/>
      <c r="B3" s="188"/>
      <c r="C3" s="188"/>
      <c r="D3" s="188"/>
      <c r="E3" s="188"/>
      <c r="F3" s="188"/>
      <c r="G3" s="43"/>
      <c r="H3" s="188"/>
    </row>
    <row r="4" spans="1:8" ht="21.6" customHeight="1" thickTop="1" thickBot="1">
      <c r="A4" s="189" t="s">
        <v>51</v>
      </c>
      <c r="B4" s="190"/>
      <c r="C4" s="190"/>
      <c r="D4" s="190"/>
      <c r="E4" s="190"/>
      <c r="F4" s="190"/>
      <c r="G4" s="44"/>
      <c r="H4" s="188"/>
    </row>
    <row r="5" spans="1:8" ht="21.6" customHeight="1" thickBot="1">
      <c r="A5" s="37" t="s">
        <v>52</v>
      </c>
      <c r="B5" s="37" t="s">
        <v>53</v>
      </c>
      <c r="C5" s="37" t="s">
        <v>54</v>
      </c>
      <c r="D5" s="37" t="s">
        <v>55</v>
      </c>
      <c r="E5" s="37" t="s">
        <v>56</v>
      </c>
      <c r="F5" s="37" t="s">
        <v>57</v>
      </c>
      <c r="G5" s="45"/>
      <c r="H5" s="188"/>
    </row>
    <row r="6" spans="1:8" ht="21.6" customHeight="1" thickBot="1">
      <c r="A6" s="221" t="s">
        <v>121</v>
      </c>
      <c r="B6" s="222"/>
      <c r="C6" s="222"/>
      <c r="D6" s="222"/>
      <c r="E6" s="222"/>
      <c r="F6" s="222"/>
      <c r="G6" s="46"/>
      <c r="H6" s="188"/>
    </row>
    <row r="7" spans="1:8">
      <c r="A7" s="223" t="s">
        <v>58</v>
      </c>
      <c r="B7" s="224"/>
      <c r="C7" s="148">
        <f>SUM(C6:C6)</f>
        <v>0</v>
      </c>
      <c r="D7" s="148">
        <f>SUM(D6:D6)</f>
        <v>0</v>
      </c>
      <c r="E7" s="40"/>
      <c r="F7" s="38"/>
      <c r="G7" s="42"/>
      <c r="H7" s="188"/>
    </row>
    <row r="8" spans="1:8">
      <c r="A8" s="15"/>
      <c r="B8" s="16"/>
      <c r="C8" s="17"/>
      <c r="D8" s="17"/>
      <c r="E8" s="17"/>
    </row>
    <row r="9" spans="1:8">
      <c r="A9" s="213"/>
      <c r="B9" s="188"/>
      <c r="C9" s="188"/>
      <c r="D9" s="188"/>
      <c r="E9" s="188"/>
      <c r="F9" s="188"/>
      <c r="G9" s="188"/>
      <c r="H9" s="188"/>
    </row>
    <row r="10" spans="1:8">
      <c r="A10" s="188"/>
      <c r="B10" s="188"/>
      <c r="C10" s="188"/>
      <c r="D10" s="188"/>
      <c r="E10" s="188"/>
      <c r="F10" s="188"/>
      <c r="G10" s="188"/>
      <c r="H10" s="188"/>
    </row>
    <row r="11" spans="1:8">
      <c r="A11" s="188"/>
      <c r="B11" s="188"/>
      <c r="C11" s="188"/>
      <c r="D11" s="188"/>
      <c r="E11" s="188"/>
      <c r="F11" s="188"/>
      <c r="G11" s="188"/>
      <c r="H11" s="188"/>
    </row>
    <row r="12" spans="1:8">
      <c r="A12" s="15"/>
      <c r="B12" s="16"/>
      <c r="C12" s="17"/>
      <c r="D12" s="17"/>
      <c r="E12" s="17"/>
    </row>
  </sheetData>
  <mergeCells count="6">
    <mergeCell ref="A9:H11"/>
    <mergeCell ref="A1:F3"/>
    <mergeCell ref="A7:B7"/>
    <mergeCell ref="A4:F4"/>
    <mergeCell ref="H1:H7"/>
    <mergeCell ref="A6:F6"/>
  </mergeCells>
  <printOptions horizontalCentered="1" verticalCentered="1"/>
  <pageMargins left="0.51181102362204722" right="0.51181102362204722" top="0.19685039370078741" bottom="0.39370078740157483" header="0" footer="0"/>
  <pageSetup paperSize="9" scale="80" orientation="landscape" r:id="rId1"/>
  <headerFooter>
    <oddFooter>&amp;R&amp;G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L31"/>
  <sheetViews>
    <sheetView zoomScaleNormal="100" workbookViewId="0">
      <selection activeCell="H6" sqref="H6:H17"/>
    </sheetView>
  </sheetViews>
  <sheetFormatPr defaultRowHeight="14.4"/>
  <cols>
    <col min="1" max="1" width="22.44140625" customWidth="1"/>
    <col min="2" max="2" width="20" customWidth="1"/>
    <col min="3" max="3" width="11" bestFit="1" customWidth="1"/>
    <col min="4" max="4" width="20.5546875" bestFit="1" customWidth="1"/>
    <col min="5" max="5" width="19.44140625" customWidth="1"/>
    <col min="6" max="6" width="16.33203125" bestFit="1" customWidth="1"/>
    <col min="7" max="7" width="20.5546875" customWidth="1"/>
    <col min="8" max="8" width="22.33203125" customWidth="1"/>
    <col min="9" max="9" width="1.109375" customWidth="1"/>
    <col min="12" max="12" width="14.44140625" bestFit="1" customWidth="1"/>
  </cols>
  <sheetData>
    <row r="1" spans="1:12" ht="13.8" customHeight="1">
      <c r="A1" s="227">
        <f>CAPA!C26</f>
        <v>0</v>
      </c>
      <c r="B1" s="226"/>
      <c r="C1" s="226"/>
      <c r="D1" s="226"/>
      <c r="E1" s="226"/>
      <c r="F1" s="226"/>
      <c r="G1" s="226"/>
      <c r="H1" s="226"/>
      <c r="I1" s="54"/>
      <c r="J1" s="225"/>
    </row>
    <row r="2" spans="1:12" ht="13.8" customHeight="1">
      <c r="A2" s="226"/>
      <c r="B2" s="226"/>
      <c r="C2" s="226"/>
      <c r="D2" s="226"/>
      <c r="E2" s="226"/>
      <c r="F2" s="226"/>
      <c r="G2" s="226"/>
      <c r="H2" s="226"/>
      <c r="I2" s="54"/>
      <c r="J2" s="226"/>
    </row>
    <row r="3" spans="1:12" ht="13.8" customHeight="1" thickBot="1">
      <c r="A3" s="228"/>
      <c r="B3" s="228"/>
      <c r="C3" s="228"/>
      <c r="D3" s="228"/>
      <c r="E3" s="228"/>
      <c r="F3" s="228"/>
      <c r="G3" s="228"/>
      <c r="H3" s="228"/>
      <c r="I3" s="54"/>
      <c r="J3" s="226"/>
    </row>
    <row r="4" spans="1:12" ht="21.6" customHeight="1" thickBot="1">
      <c r="A4" s="229" t="s">
        <v>59</v>
      </c>
      <c r="B4" s="230"/>
      <c r="C4" s="230"/>
      <c r="D4" s="230"/>
      <c r="E4" s="230"/>
      <c r="F4" s="230"/>
      <c r="G4" s="230"/>
      <c r="H4" s="231"/>
      <c r="I4" s="55"/>
      <c r="J4" s="226"/>
      <c r="L4" s="56"/>
    </row>
    <row r="5" spans="1:12" ht="20.399999999999999" customHeight="1" thickBot="1">
      <c r="A5" s="233">
        <v>2025</v>
      </c>
      <c r="B5" s="203"/>
      <c r="C5" s="57" t="s">
        <v>60</v>
      </c>
      <c r="D5" s="233">
        <v>2024</v>
      </c>
      <c r="E5" s="203"/>
      <c r="F5" s="57" t="s">
        <v>60</v>
      </c>
      <c r="G5" s="233">
        <v>2023</v>
      </c>
      <c r="H5" s="203"/>
      <c r="I5" s="58"/>
      <c r="J5" s="226"/>
      <c r="L5" s="56"/>
    </row>
    <row r="6" spans="1:12" ht="18.600000000000001" customHeight="1" thickBot="1">
      <c r="A6" s="59">
        <v>45658</v>
      </c>
      <c r="B6" s="60"/>
      <c r="C6" s="61" t="e">
        <f t="shared" ref="C6:C17" si="0">B6/E6-1</f>
        <v>#DIV/0!</v>
      </c>
      <c r="D6" s="59">
        <v>45292</v>
      </c>
      <c r="E6" s="60"/>
      <c r="F6" s="61" t="e">
        <f t="shared" ref="F6:F20" si="1">E6/H6-1</f>
        <v>#DIV/0!</v>
      </c>
      <c r="G6" s="59">
        <v>44927</v>
      </c>
      <c r="H6" s="60"/>
      <c r="I6" s="62"/>
      <c r="J6" s="226"/>
      <c r="L6" s="56"/>
    </row>
    <row r="7" spans="1:12" ht="18.600000000000001" customHeight="1" thickBot="1">
      <c r="A7" s="63">
        <v>45689</v>
      </c>
      <c r="B7" s="64"/>
      <c r="C7" s="65" t="e">
        <f t="shared" si="0"/>
        <v>#DIV/0!</v>
      </c>
      <c r="D7" s="63">
        <v>45323</v>
      </c>
      <c r="E7" s="64"/>
      <c r="F7" s="65" t="e">
        <f t="shared" si="1"/>
        <v>#DIV/0!</v>
      </c>
      <c r="G7" s="63">
        <v>44958</v>
      </c>
      <c r="H7" s="64"/>
      <c r="I7" s="62"/>
      <c r="J7" s="226"/>
      <c r="L7" s="56"/>
    </row>
    <row r="8" spans="1:12" ht="18.600000000000001" customHeight="1" thickBot="1">
      <c r="A8" s="59">
        <v>45717</v>
      </c>
      <c r="B8" s="60"/>
      <c r="C8" s="61" t="e">
        <f t="shared" si="0"/>
        <v>#DIV/0!</v>
      </c>
      <c r="D8" s="59">
        <v>45352</v>
      </c>
      <c r="E8" s="60"/>
      <c r="F8" s="61" t="e">
        <f t="shared" si="1"/>
        <v>#DIV/0!</v>
      </c>
      <c r="G8" s="59">
        <v>44986</v>
      </c>
      <c r="H8" s="60"/>
      <c r="I8" s="62"/>
      <c r="J8" s="226"/>
      <c r="L8" s="56"/>
    </row>
    <row r="9" spans="1:12" ht="18.600000000000001" customHeight="1" thickBot="1">
      <c r="A9" s="63">
        <v>45748</v>
      </c>
      <c r="B9" s="64"/>
      <c r="C9" s="65" t="e">
        <f t="shared" si="0"/>
        <v>#DIV/0!</v>
      </c>
      <c r="D9" s="63">
        <v>45383</v>
      </c>
      <c r="E9" s="64"/>
      <c r="F9" s="65" t="e">
        <f t="shared" si="1"/>
        <v>#DIV/0!</v>
      </c>
      <c r="G9" s="63">
        <v>45017</v>
      </c>
      <c r="H9" s="64"/>
      <c r="I9" s="62"/>
      <c r="J9" s="226"/>
      <c r="L9" s="56"/>
    </row>
    <row r="10" spans="1:12" ht="18.600000000000001" customHeight="1" thickBot="1">
      <c r="A10" s="59">
        <v>45778</v>
      </c>
      <c r="B10" s="60"/>
      <c r="C10" s="61" t="e">
        <f t="shared" si="0"/>
        <v>#DIV/0!</v>
      </c>
      <c r="D10" s="59">
        <v>45413</v>
      </c>
      <c r="E10" s="60"/>
      <c r="F10" s="61" t="e">
        <f t="shared" si="1"/>
        <v>#DIV/0!</v>
      </c>
      <c r="G10" s="59">
        <v>45047</v>
      </c>
      <c r="H10" s="60"/>
      <c r="I10" s="62"/>
      <c r="J10" s="226"/>
      <c r="L10" s="56"/>
    </row>
    <row r="11" spans="1:12" ht="18.600000000000001" customHeight="1" thickBot="1">
      <c r="A11" s="63">
        <v>45809</v>
      </c>
      <c r="B11" s="64"/>
      <c r="C11" s="65" t="e">
        <f t="shared" si="0"/>
        <v>#DIV/0!</v>
      </c>
      <c r="D11" s="63">
        <v>45444</v>
      </c>
      <c r="E11" s="64"/>
      <c r="F11" s="65" t="e">
        <f t="shared" si="1"/>
        <v>#DIV/0!</v>
      </c>
      <c r="G11" s="63">
        <v>45078</v>
      </c>
      <c r="H11" s="64"/>
      <c r="I11" s="62"/>
      <c r="J11" s="226"/>
      <c r="L11" s="56"/>
    </row>
    <row r="12" spans="1:12" ht="18.600000000000001" customHeight="1" thickBot="1">
      <c r="A12" s="59">
        <v>45839</v>
      </c>
      <c r="B12" s="60"/>
      <c r="C12" s="61" t="e">
        <f t="shared" si="0"/>
        <v>#DIV/0!</v>
      </c>
      <c r="D12" s="59">
        <v>45474</v>
      </c>
      <c r="E12" s="60"/>
      <c r="F12" s="61" t="e">
        <f t="shared" si="1"/>
        <v>#DIV/0!</v>
      </c>
      <c r="G12" s="59">
        <v>45108</v>
      </c>
      <c r="H12" s="60"/>
      <c r="I12" s="62"/>
      <c r="J12" s="226"/>
      <c r="L12" s="56"/>
    </row>
    <row r="13" spans="1:12" ht="18.600000000000001" customHeight="1" thickBot="1">
      <c r="A13" s="63">
        <v>45870</v>
      </c>
      <c r="B13" s="64"/>
      <c r="C13" s="65" t="e">
        <f t="shared" si="0"/>
        <v>#DIV/0!</v>
      </c>
      <c r="D13" s="63">
        <v>45505</v>
      </c>
      <c r="E13" s="64"/>
      <c r="F13" s="65" t="e">
        <f t="shared" si="1"/>
        <v>#DIV/0!</v>
      </c>
      <c r="G13" s="63">
        <v>45139</v>
      </c>
      <c r="H13" s="64"/>
      <c r="I13" s="62"/>
      <c r="J13" s="226"/>
      <c r="L13" s="56"/>
    </row>
    <row r="14" spans="1:12" ht="18.600000000000001" customHeight="1" thickBot="1">
      <c r="A14" s="59">
        <v>45901</v>
      </c>
      <c r="B14" s="60"/>
      <c r="C14" s="61" t="e">
        <f t="shared" si="0"/>
        <v>#DIV/0!</v>
      </c>
      <c r="D14" s="59">
        <v>45536</v>
      </c>
      <c r="E14" s="60"/>
      <c r="F14" s="61" t="e">
        <f t="shared" si="1"/>
        <v>#DIV/0!</v>
      </c>
      <c r="G14" s="59">
        <v>45170</v>
      </c>
      <c r="H14" s="60"/>
      <c r="I14" s="62"/>
      <c r="J14" s="226"/>
      <c r="L14" s="56"/>
    </row>
    <row r="15" spans="1:12" ht="18.600000000000001" customHeight="1" thickBot="1">
      <c r="A15" s="63">
        <v>45931</v>
      </c>
      <c r="B15" s="64"/>
      <c r="C15" s="65" t="e">
        <f t="shared" si="0"/>
        <v>#DIV/0!</v>
      </c>
      <c r="D15" s="63">
        <v>45566</v>
      </c>
      <c r="E15" s="64"/>
      <c r="F15" s="65" t="e">
        <f t="shared" si="1"/>
        <v>#DIV/0!</v>
      </c>
      <c r="G15" s="63">
        <v>45200</v>
      </c>
      <c r="H15" s="64"/>
      <c r="I15" s="62"/>
      <c r="J15" s="226"/>
      <c r="L15" s="56"/>
    </row>
    <row r="16" spans="1:12" ht="18.600000000000001" customHeight="1" thickBot="1">
      <c r="A16" s="59">
        <v>45962</v>
      </c>
      <c r="B16" s="60"/>
      <c r="C16" s="61" t="e">
        <f t="shared" si="0"/>
        <v>#DIV/0!</v>
      </c>
      <c r="D16" s="59">
        <v>45597</v>
      </c>
      <c r="E16" s="60"/>
      <c r="F16" s="61" t="e">
        <f t="shared" si="1"/>
        <v>#DIV/0!</v>
      </c>
      <c r="G16" s="59">
        <v>45231</v>
      </c>
      <c r="H16" s="60"/>
      <c r="I16" s="62"/>
      <c r="J16" s="226"/>
      <c r="L16" s="56"/>
    </row>
    <row r="17" spans="1:12" ht="18.600000000000001" customHeight="1" thickBot="1">
      <c r="A17" s="63">
        <v>45992</v>
      </c>
      <c r="B17" s="64"/>
      <c r="C17" s="65" t="e">
        <f t="shared" si="0"/>
        <v>#DIV/0!</v>
      </c>
      <c r="D17" s="63">
        <v>45627</v>
      </c>
      <c r="E17" s="64"/>
      <c r="F17" s="65" t="e">
        <f t="shared" si="1"/>
        <v>#DIV/0!</v>
      </c>
      <c r="G17" s="63">
        <v>45261</v>
      </c>
      <c r="H17" s="64"/>
      <c r="I17" s="62"/>
      <c r="J17" s="226"/>
      <c r="L17" s="56"/>
    </row>
    <row r="18" spans="1:12" ht="19.5" customHeight="1" thickBot="1">
      <c r="A18" s="66" t="s">
        <v>61</v>
      </c>
      <c r="B18" s="67">
        <f>SUM(B6:B17)</f>
        <v>0</v>
      </c>
      <c r="C18" s="68" t="e">
        <f>C20</f>
        <v>#DIV/0!</v>
      </c>
      <c r="D18" s="66" t="s">
        <v>61</v>
      </c>
      <c r="E18" s="67">
        <f>SUM(E6:E17)</f>
        <v>0</v>
      </c>
      <c r="F18" s="68" t="e">
        <f t="shared" si="1"/>
        <v>#DIV/0!</v>
      </c>
      <c r="G18" s="66" t="s">
        <v>61</v>
      </c>
      <c r="H18" s="67">
        <f>SUM(H6:H17)</f>
        <v>0</v>
      </c>
      <c r="I18" s="69"/>
      <c r="J18" s="226"/>
    </row>
    <row r="19" spans="1:12" ht="20.25" customHeight="1" thickBot="1">
      <c r="A19" s="66" t="s">
        <v>62</v>
      </c>
      <c r="B19" s="67" t="e">
        <f>AVERAGE(B6:B16)</f>
        <v>#DIV/0!</v>
      </c>
      <c r="C19" s="68">
        <v>0.01</v>
      </c>
      <c r="D19" s="66" t="s">
        <v>62</v>
      </c>
      <c r="E19" s="67" t="e">
        <f>AVERAGE(E6:E17)</f>
        <v>#DIV/0!</v>
      </c>
      <c r="F19" s="68" t="e">
        <f t="shared" si="1"/>
        <v>#DIV/0!</v>
      </c>
      <c r="G19" s="66" t="s">
        <v>62</v>
      </c>
      <c r="H19" s="70" t="e">
        <f>AVERAGE(H6:H17)</f>
        <v>#DIV/0!</v>
      </c>
      <c r="I19" s="71"/>
      <c r="J19" s="226"/>
      <c r="L19" s="56"/>
    </row>
    <row r="20" spans="1:12" ht="18.600000000000001" customHeight="1" thickBot="1">
      <c r="A20" s="66" t="s">
        <v>63</v>
      </c>
      <c r="B20" s="67" t="e">
        <f>AVERAGE(B6:B13)</f>
        <v>#DIV/0!</v>
      </c>
      <c r="C20" s="68" t="e">
        <f>B20/E20-1</f>
        <v>#DIV/0!</v>
      </c>
      <c r="D20" s="66" t="s">
        <v>63</v>
      </c>
      <c r="E20" s="67" t="e">
        <f>AVERAGE(E6:E13)</f>
        <v>#DIV/0!</v>
      </c>
      <c r="F20" s="68" t="e">
        <f t="shared" si="1"/>
        <v>#DIV/0!</v>
      </c>
      <c r="G20" s="66" t="s">
        <v>63</v>
      </c>
      <c r="H20" s="67" t="e">
        <f>AVERAGE(H6:H13)</f>
        <v>#DIV/0!</v>
      </c>
      <c r="I20" s="71"/>
      <c r="J20" s="226"/>
      <c r="L20" s="56"/>
    </row>
    <row r="21" spans="1:12" ht="18.600000000000001" hidden="1" customHeight="1" thickBot="1">
      <c r="A21" s="66" t="s">
        <v>64</v>
      </c>
      <c r="B21" s="67" t="e">
        <f>B19*C21</f>
        <v>#DIV/0!</v>
      </c>
      <c r="C21" s="68">
        <v>1</v>
      </c>
      <c r="D21" s="66" t="s">
        <v>65</v>
      </c>
      <c r="E21" s="67">
        <v>0</v>
      </c>
      <c r="F21" s="68" t="s">
        <v>66</v>
      </c>
      <c r="G21" s="232"/>
      <c r="H21" s="203"/>
      <c r="I21" s="71"/>
      <c r="J21" s="226"/>
      <c r="L21" s="56"/>
    </row>
    <row r="22" spans="1:1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</sheetData>
  <mergeCells count="7">
    <mergeCell ref="J1:J21"/>
    <mergeCell ref="A1:H3"/>
    <mergeCell ref="A4:H4"/>
    <mergeCell ref="G21:H21"/>
    <mergeCell ref="D5:E5"/>
    <mergeCell ref="A5:B5"/>
    <mergeCell ref="G5:H5"/>
  </mergeCells>
  <conditionalFormatting sqref="C6 C8 C10 C12 C14 C16">
    <cfRule type="iconSet" priority="1">
      <iconSet iconSet="3Arrows">
        <cfvo type="percent" val="0"/>
        <cfvo type="num" val="-4.4999999999999998E-2"/>
        <cfvo type="num" val="4.4999999999999998E-2"/>
      </iconSet>
    </cfRule>
    <cfRule type="colorScale" priority="2">
      <colorScale>
        <cfvo type="num" val="-0.2"/>
        <cfvo type="num" val="0"/>
        <cfvo type="num" val="0.2"/>
        <color rgb="FFF8696B"/>
        <color rgb="FFFFEB84"/>
        <color rgb="FF63BE7B"/>
      </colorScale>
    </cfRule>
  </conditionalFormatting>
  <conditionalFormatting sqref="C7 C9 C11 C13 C15 C17">
    <cfRule type="iconSet" priority="3">
      <iconSet iconSet="3Arrows">
        <cfvo type="percent" val="0"/>
        <cfvo type="num" val="-4.4999999999999998E-2"/>
        <cfvo type="num" val="4.4999999999999998E-2"/>
      </iconSet>
    </cfRule>
    <cfRule type="colorScale" priority="4">
      <colorScale>
        <cfvo type="num" val="-0.2"/>
        <cfvo type="num" val="0"/>
        <cfvo type="num" val="0.2"/>
        <color rgb="FFF8696B"/>
        <color rgb="FFFFEB84"/>
        <color rgb="FF63BE7B"/>
      </colorScale>
    </cfRule>
  </conditionalFormatting>
  <conditionalFormatting sqref="F6:F17">
    <cfRule type="iconSet" priority="5">
      <iconSet iconSet="3Arrows">
        <cfvo type="percent" val="0"/>
        <cfvo type="num" val="-4.4999999999999998E-2"/>
        <cfvo type="num" val="4.4999999999999998E-2"/>
      </iconSet>
    </cfRule>
    <cfRule type="colorScale" priority="6">
      <colorScale>
        <cfvo type="num" val="-0.2"/>
        <cfvo type="num" val="0"/>
        <cfvo type="num" val="0.2"/>
        <color rgb="FFF8696B"/>
        <color rgb="FFFFEB84"/>
        <color rgb="FF63BE7B"/>
      </colorScale>
    </cfRule>
  </conditionalFormatting>
  <printOptions horizontalCentered="1" verticalCentered="1"/>
  <pageMargins left="0.51181102362204722" right="0.51181102362204722" top="0.19685039370078741" bottom="0.39370078740157483" header="0.31496062992125984" footer="0.31496062992125984"/>
  <pageSetup paperSize="9" scale="83" orientation="landscape" r:id="rId1"/>
  <headerFooter>
    <oddFooter>&amp;R&amp;G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27"/>
  <sheetViews>
    <sheetView zoomScale="85" zoomScaleNormal="85" workbookViewId="0">
      <selection activeCell="R41" sqref="R41"/>
    </sheetView>
  </sheetViews>
  <sheetFormatPr defaultRowHeight="14.4"/>
  <cols>
    <col min="1" max="1" width="53.5546875" customWidth="1"/>
    <col min="2" max="2" width="10.5546875" bestFit="1" customWidth="1"/>
    <col min="3" max="3" width="23.5546875" customWidth="1"/>
    <col min="4" max="4" width="9.6640625" bestFit="1" customWidth="1"/>
    <col min="5" max="5" width="32.88671875" customWidth="1"/>
    <col min="6" max="6" width="1.88671875" customWidth="1"/>
  </cols>
  <sheetData>
    <row r="1" spans="1:8" ht="15" customHeight="1">
      <c r="A1" s="243">
        <f>CAPA!C26</f>
        <v>0</v>
      </c>
      <c r="B1" s="226"/>
      <c r="C1" s="226"/>
      <c r="D1" s="226"/>
      <c r="E1" s="226"/>
      <c r="F1" s="72"/>
      <c r="G1" s="234"/>
      <c r="H1" s="73"/>
    </row>
    <row r="2" spans="1:8" ht="23.25" customHeight="1">
      <c r="A2" s="226"/>
      <c r="B2" s="226"/>
      <c r="C2" s="226"/>
      <c r="D2" s="226"/>
      <c r="E2" s="226"/>
      <c r="F2" s="72"/>
      <c r="G2" s="226"/>
      <c r="H2" s="73"/>
    </row>
    <row r="3" spans="1:8" ht="21" customHeight="1" thickBot="1">
      <c r="A3" s="230"/>
      <c r="B3" s="230"/>
      <c r="C3" s="230"/>
      <c r="D3" s="230"/>
      <c r="E3" s="230"/>
      <c r="F3" s="74"/>
      <c r="G3" s="226"/>
      <c r="H3" s="75"/>
    </row>
    <row r="4" spans="1:8" ht="42.75" customHeight="1" thickBot="1">
      <c r="A4" s="241" t="s">
        <v>67</v>
      </c>
      <c r="B4" s="202"/>
      <c r="C4" s="202"/>
      <c r="D4" s="202"/>
      <c r="E4" s="203"/>
      <c r="G4" s="226"/>
    </row>
    <row r="5" spans="1:8" ht="21.6" customHeight="1" thickBot="1">
      <c r="A5" s="25" t="s">
        <v>68</v>
      </c>
      <c r="B5" s="240" t="e">
        <f>((B9/30)*B15)*B12</f>
        <v>#DIV/0!</v>
      </c>
      <c r="C5" s="203"/>
      <c r="D5" s="235" t="e">
        <f>B5+B6+B7</f>
        <v>#DIV/0!</v>
      </c>
      <c r="E5" s="236"/>
      <c r="G5" s="226"/>
    </row>
    <row r="6" spans="1:8" ht="21.6" customHeight="1" thickBot="1">
      <c r="A6" s="25" t="s">
        <v>69</v>
      </c>
      <c r="B6" s="240" t="e">
        <f>((B9/30)*B16)*D12</f>
        <v>#DIV/0!</v>
      </c>
      <c r="C6" s="203"/>
      <c r="D6" s="237"/>
      <c r="E6" s="238"/>
      <c r="G6" s="226"/>
    </row>
    <row r="7" spans="1:8" ht="21.6" customHeight="1" thickBot="1">
      <c r="A7" s="98" t="s">
        <v>70</v>
      </c>
      <c r="B7" s="240" t="e">
        <f>((B9/30)*B17)*B13</f>
        <v>#DIV/0!</v>
      </c>
      <c r="C7" s="203"/>
      <c r="D7" s="239"/>
      <c r="E7" s="231"/>
      <c r="G7" s="226"/>
    </row>
    <row r="8" spans="1:8" ht="43.2" customHeight="1" thickBot="1">
      <c r="A8" s="25"/>
      <c r="B8" s="245" t="s">
        <v>71</v>
      </c>
      <c r="C8" s="203"/>
      <c r="D8" s="235" t="e">
        <f>D5*D11</f>
        <v>#DIV/0!</v>
      </c>
      <c r="E8" s="203"/>
      <c r="G8" s="226"/>
    </row>
    <row r="9" spans="1:8" ht="21.6" customHeight="1" thickBot="1">
      <c r="A9" s="77" t="s">
        <v>72</v>
      </c>
      <c r="B9" s="242" t="e">
        <f>FAT!B20</f>
        <v>#DIV/0!</v>
      </c>
      <c r="C9" s="202"/>
      <c r="D9" s="202"/>
      <c r="E9" s="203"/>
      <c r="G9" s="226"/>
    </row>
    <row r="10" spans="1:8" ht="64.5" hidden="1" customHeight="1" thickBot="1">
      <c r="A10" s="78" t="s">
        <v>73</v>
      </c>
      <c r="B10" s="244" t="s">
        <v>74</v>
      </c>
      <c r="C10" s="202"/>
      <c r="D10" s="202"/>
      <c r="E10" s="203"/>
      <c r="G10" s="226"/>
    </row>
    <row r="11" spans="1:8" ht="21.75" customHeight="1" thickBot="1">
      <c r="A11" s="25" t="s">
        <v>75</v>
      </c>
      <c r="B11" s="79">
        <v>0.1</v>
      </c>
      <c r="C11" s="80" t="s">
        <v>76</v>
      </c>
      <c r="D11" s="79">
        <v>0.9</v>
      </c>
      <c r="E11" s="80" t="s">
        <v>77</v>
      </c>
      <c r="G11" s="226"/>
    </row>
    <row r="12" spans="1:8" ht="21.6" customHeight="1" thickBot="1">
      <c r="A12" s="77" t="s">
        <v>78</v>
      </c>
      <c r="B12" s="81">
        <v>1</v>
      </c>
      <c r="C12" s="82" t="s">
        <v>79</v>
      </c>
      <c r="D12" s="83">
        <v>0</v>
      </c>
      <c r="E12" s="82" t="s">
        <v>80</v>
      </c>
      <c r="G12" s="226"/>
    </row>
    <row r="13" spans="1:8" ht="21.75" hidden="1" customHeight="1" thickBot="1">
      <c r="A13" s="84"/>
      <c r="B13" s="85"/>
      <c r="C13" s="86" t="s">
        <v>81</v>
      </c>
      <c r="D13" s="87"/>
      <c r="E13" s="86" t="s">
        <v>82</v>
      </c>
      <c r="G13" s="226"/>
    </row>
    <row r="14" spans="1:8" ht="21.6" customHeight="1" thickBot="1">
      <c r="A14" s="25" t="s">
        <v>83</v>
      </c>
      <c r="B14" s="246">
        <v>4000</v>
      </c>
      <c r="C14" s="202"/>
      <c r="D14" s="202"/>
      <c r="E14" s="203"/>
      <c r="G14" s="226"/>
    </row>
    <row r="15" spans="1:8" ht="21.6" customHeight="1" thickBot="1">
      <c r="A15" s="77" t="s">
        <v>84</v>
      </c>
      <c r="B15" s="88">
        <v>75</v>
      </c>
      <c r="C15" s="89" t="s">
        <v>85</v>
      </c>
      <c r="D15" s="90"/>
      <c r="E15" s="91"/>
      <c r="G15" s="226"/>
    </row>
    <row r="16" spans="1:8" ht="21.6" hidden="1" customHeight="1" thickBot="1">
      <c r="A16" s="77" t="s">
        <v>86</v>
      </c>
      <c r="B16" s="88">
        <v>0</v>
      </c>
      <c r="C16" s="92" t="s">
        <v>85</v>
      </c>
      <c r="D16" s="93"/>
      <c r="E16" s="91"/>
      <c r="G16" s="226"/>
    </row>
    <row r="17" spans="1:7" ht="21.6" hidden="1" customHeight="1" thickBot="1">
      <c r="A17" s="84" t="s">
        <v>87</v>
      </c>
      <c r="B17" s="94"/>
      <c r="C17" s="95" t="s">
        <v>85</v>
      </c>
      <c r="D17" s="96"/>
      <c r="E17" s="97"/>
      <c r="G17" s="226"/>
    </row>
    <row r="18" spans="1:7">
      <c r="A18" s="18"/>
      <c r="B18" s="18"/>
      <c r="C18" s="18"/>
      <c r="D18" s="18"/>
      <c r="E18" s="18"/>
      <c r="F18" s="18"/>
      <c r="G18" s="18"/>
    </row>
    <row r="19" spans="1:7">
      <c r="A19" s="18"/>
      <c r="B19" s="18"/>
      <c r="C19" s="18"/>
      <c r="D19" s="18"/>
      <c r="E19" s="18"/>
      <c r="F19" s="18"/>
      <c r="G19" s="18"/>
    </row>
    <row r="20" spans="1:7">
      <c r="A20" s="18"/>
      <c r="B20" s="18"/>
      <c r="C20" s="18"/>
      <c r="D20" s="18"/>
      <c r="E20" s="18"/>
      <c r="F20" s="18"/>
      <c r="G20" s="18"/>
    </row>
    <row r="21" spans="1:7">
      <c r="A21" s="18"/>
      <c r="B21" s="18"/>
      <c r="C21" s="18"/>
      <c r="D21" s="18"/>
      <c r="E21" s="18"/>
      <c r="F21" s="18"/>
      <c r="G21" s="18"/>
    </row>
    <row r="22" spans="1:7">
      <c r="A22" s="18"/>
      <c r="B22" s="18"/>
      <c r="C22" s="18"/>
      <c r="D22" s="18"/>
      <c r="E22" s="18"/>
      <c r="F22" s="18"/>
      <c r="G22" s="18"/>
    </row>
    <row r="23" spans="1:7">
      <c r="A23" s="18"/>
      <c r="B23" s="18"/>
      <c r="C23" s="18"/>
      <c r="D23" s="18"/>
      <c r="E23" s="18"/>
      <c r="F23" s="18"/>
      <c r="G23" s="18"/>
    </row>
    <row r="24" spans="1:7">
      <c r="A24" s="18"/>
      <c r="B24" s="18"/>
      <c r="C24" s="18"/>
      <c r="D24" s="18"/>
      <c r="E24" s="18"/>
      <c r="F24" s="18"/>
      <c r="G24" s="18"/>
    </row>
    <row r="25" spans="1:7">
      <c r="A25" s="18"/>
      <c r="B25" s="18"/>
      <c r="C25" s="18"/>
      <c r="D25" s="18"/>
      <c r="E25" s="18"/>
      <c r="F25" s="18"/>
      <c r="G25" s="18"/>
    </row>
    <row r="26" spans="1:7">
      <c r="A26" s="18"/>
      <c r="B26" s="18"/>
      <c r="C26" s="18"/>
      <c r="D26" s="18"/>
      <c r="E26" s="18"/>
      <c r="F26" s="18"/>
      <c r="G26" s="18"/>
    </row>
    <row r="27" spans="1:7">
      <c r="A27" s="18"/>
      <c r="B27" s="18"/>
      <c r="C27" s="18"/>
      <c r="D27" s="18"/>
      <c r="E27" s="18"/>
      <c r="F27" s="18"/>
      <c r="G27" s="18"/>
    </row>
  </sheetData>
  <mergeCells count="12">
    <mergeCell ref="G1:G17"/>
    <mergeCell ref="D8:E8"/>
    <mergeCell ref="D5:E7"/>
    <mergeCell ref="B6:C6"/>
    <mergeCell ref="A4:E4"/>
    <mergeCell ref="B9:E9"/>
    <mergeCell ref="B7:C7"/>
    <mergeCell ref="B5:C5"/>
    <mergeCell ref="A1:E3"/>
    <mergeCell ref="B10:E10"/>
    <mergeCell ref="B8:C8"/>
    <mergeCell ref="B14:E14"/>
  </mergeCells>
  <printOptions horizontalCentered="1" verticalCentered="1"/>
  <pageMargins left="0.51181102362204722" right="0.51181102362204722" top="0.19685039370078741" bottom="0.39370078740157483" header="0.31496062992125984" footer="0.31496062992125984"/>
  <pageSetup paperSize="9" scale="96" orientation="landscape" r:id="rId1"/>
  <headerFooter>
    <oddFooter>&amp;R&amp;G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  <pageSetUpPr fitToPage="1"/>
  </sheetPr>
  <dimension ref="A1:J25"/>
  <sheetViews>
    <sheetView showGridLines="0" zoomScaleNormal="100" workbookViewId="0">
      <selection activeCell="B14" sqref="B14"/>
    </sheetView>
  </sheetViews>
  <sheetFormatPr defaultRowHeight="14.4"/>
  <cols>
    <col min="1" max="1" width="26.109375" customWidth="1"/>
    <col min="2" max="2" width="25.109375" customWidth="1"/>
    <col min="3" max="3" width="23.88671875" customWidth="1"/>
    <col min="4" max="4" width="19.5546875" customWidth="1"/>
    <col min="5" max="5" width="25.5546875" customWidth="1"/>
    <col min="6" max="6" width="10.6640625" bestFit="1" customWidth="1"/>
    <col min="7" max="7" width="1.6640625" customWidth="1"/>
    <col min="10" max="10" width="16.109375" bestFit="1" customWidth="1"/>
  </cols>
  <sheetData>
    <row r="1" spans="1:10" ht="17.399999999999999" customHeight="1">
      <c r="A1" s="253">
        <f>CAPA!C26</f>
        <v>0</v>
      </c>
      <c r="B1" s="226"/>
      <c r="C1" s="226"/>
      <c r="D1" s="226"/>
      <c r="E1" s="226"/>
      <c r="F1" s="226"/>
      <c r="H1" s="225"/>
    </row>
    <row r="2" spans="1:10" ht="17.399999999999999" customHeight="1">
      <c r="A2" s="226"/>
      <c r="B2" s="226"/>
      <c r="C2" s="226"/>
      <c r="D2" s="226"/>
      <c r="E2" s="226"/>
      <c r="F2" s="226"/>
      <c r="H2" s="226"/>
    </row>
    <row r="3" spans="1:10" ht="17.399999999999999" customHeight="1" thickBot="1">
      <c r="A3" s="226"/>
      <c r="B3" s="226"/>
      <c r="C3" s="226"/>
      <c r="D3" s="226"/>
      <c r="E3" s="226"/>
      <c r="F3" s="226"/>
      <c r="H3" s="226"/>
    </row>
    <row r="4" spans="1:10" ht="21.75" customHeight="1" thickBot="1">
      <c r="A4" s="241" t="s">
        <v>88</v>
      </c>
      <c r="B4" s="202"/>
      <c r="C4" s="202"/>
      <c r="D4" s="202"/>
      <c r="E4" s="202"/>
      <c r="F4" s="203"/>
      <c r="H4" s="226"/>
    </row>
    <row r="5" spans="1:10" ht="21" customHeight="1">
      <c r="A5" s="99" t="s">
        <v>89</v>
      </c>
      <c r="B5" s="99" t="s">
        <v>90</v>
      </c>
      <c r="C5" s="99" t="s">
        <v>91</v>
      </c>
      <c r="D5" s="99" t="s">
        <v>90</v>
      </c>
      <c r="E5" s="254" t="s">
        <v>61</v>
      </c>
      <c r="F5" s="248"/>
      <c r="H5" s="226"/>
      <c r="J5" s="56"/>
    </row>
    <row r="6" spans="1:10" ht="21" customHeight="1">
      <c r="A6" s="100" t="e">
        <f>B14+B16</f>
        <v>#REF!</v>
      </c>
      <c r="B6" s="101" t="e">
        <f>A6/E6</f>
        <v>#REF!</v>
      </c>
      <c r="C6" s="102">
        <f>B15</f>
        <v>0</v>
      </c>
      <c r="D6" s="101" t="e">
        <f>C6/E6</f>
        <v>#REF!</v>
      </c>
      <c r="E6" s="250" t="e">
        <f>A6+C6</f>
        <v>#REF!</v>
      </c>
      <c r="F6" s="248"/>
      <c r="H6" s="226"/>
    </row>
    <row r="7" spans="1:10" ht="23.25" customHeight="1">
      <c r="A7" s="99" t="s">
        <v>92</v>
      </c>
      <c r="B7" s="99" t="s">
        <v>90</v>
      </c>
      <c r="C7" s="99" t="s">
        <v>93</v>
      </c>
      <c r="D7" s="99" t="s">
        <v>90</v>
      </c>
      <c r="E7" s="99" t="s">
        <v>94</v>
      </c>
      <c r="F7" s="99" t="s">
        <v>90</v>
      </c>
      <c r="H7" s="226"/>
    </row>
    <row r="8" spans="1:10" ht="21" customHeight="1">
      <c r="A8" s="100" t="e">
        <f>B14</f>
        <v>#REF!</v>
      </c>
      <c r="B8" s="101">
        <v>1</v>
      </c>
      <c r="C8" s="100" t="e">
        <f>B14</f>
        <v>#REF!</v>
      </c>
      <c r="D8" s="101">
        <v>1</v>
      </c>
      <c r="E8" s="102" t="s">
        <v>14</v>
      </c>
      <c r="F8" s="101" t="s">
        <v>14</v>
      </c>
      <c r="H8" s="226"/>
    </row>
    <row r="9" spans="1:10" ht="21" customHeight="1">
      <c r="A9" s="103"/>
      <c r="B9" s="104"/>
      <c r="C9" s="247" t="s">
        <v>95</v>
      </c>
      <c r="D9" s="248"/>
      <c r="E9" s="247" t="s">
        <v>96</v>
      </c>
      <c r="F9" s="248"/>
      <c r="H9" s="226"/>
    </row>
    <row r="10" spans="1:10" ht="18.75" customHeight="1">
      <c r="A10" s="105"/>
      <c r="B10" s="106">
        <v>0</v>
      </c>
      <c r="C10" s="251" t="s">
        <v>97</v>
      </c>
      <c r="D10" s="248"/>
      <c r="E10" s="107"/>
      <c r="F10" s="107"/>
      <c r="H10" s="226"/>
    </row>
    <row r="11" spans="1:10" ht="42" customHeight="1">
      <c r="A11" s="108" t="s">
        <v>61</v>
      </c>
      <c r="B11" s="108" t="s">
        <v>98</v>
      </c>
      <c r="C11" s="108" t="s">
        <v>99</v>
      </c>
      <c r="D11" s="109" t="s">
        <v>100</v>
      </c>
      <c r="E11" s="252" t="s">
        <v>60</v>
      </c>
      <c r="F11" s="248"/>
      <c r="H11" s="226"/>
    </row>
    <row r="12" spans="1:10" ht="21" customHeight="1">
      <c r="A12" s="99" t="s">
        <v>101</v>
      </c>
      <c r="B12" s="110" t="e">
        <f>E6</f>
        <v>#REF!</v>
      </c>
      <c r="C12" s="110"/>
      <c r="D12" s="111"/>
      <c r="E12" s="249" t="s">
        <v>14</v>
      </c>
      <c r="F12" s="248"/>
      <c r="H12" s="226"/>
    </row>
    <row r="13" spans="1:10" ht="15" customHeight="1" thickBot="1">
      <c r="H13" s="226"/>
    </row>
    <row r="14" spans="1:10" ht="18.600000000000001" customHeight="1" thickBot="1">
      <c r="A14" s="112" t="s">
        <v>143</v>
      </c>
      <c r="B14" s="113" t="e">
        <f>#REF!</f>
        <v>#REF!</v>
      </c>
      <c r="C14" s="114"/>
      <c r="H14" s="226"/>
    </row>
    <row r="15" spans="1:10" ht="18" customHeight="1">
      <c r="A15" s="115" t="s">
        <v>144</v>
      </c>
      <c r="B15" s="115">
        <v>0</v>
      </c>
      <c r="C15" s="114"/>
      <c r="H15" s="226"/>
    </row>
    <row r="16" spans="1:10" ht="18.600000000000001" customHeight="1" thickBot="1">
      <c r="A16" s="116"/>
      <c r="B16" s="117">
        <v>0</v>
      </c>
      <c r="C16" s="114"/>
      <c r="H16" s="226"/>
    </row>
    <row r="17" spans="1:8" ht="21" customHeight="1">
      <c r="A17" s="108" t="s">
        <v>61</v>
      </c>
      <c r="B17" s="118" t="e">
        <f>SUM(B14:B16)</f>
        <v>#REF!</v>
      </c>
      <c r="C17" s="114"/>
      <c r="H17" s="226"/>
    </row>
    <row r="18" spans="1:8">
      <c r="H18" s="226"/>
    </row>
    <row r="19" spans="1:8">
      <c r="H19" s="226"/>
    </row>
    <row r="20" spans="1:8">
      <c r="H20" s="226"/>
    </row>
    <row r="21" spans="1:8">
      <c r="H21" s="226"/>
    </row>
    <row r="22" spans="1:8">
      <c r="H22" s="226"/>
    </row>
    <row r="23" spans="1:8">
      <c r="H23" s="226"/>
    </row>
    <row r="24" spans="1:8">
      <c r="H24" s="226"/>
    </row>
    <row r="25" spans="1:8">
      <c r="H25" s="18"/>
    </row>
  </sheetData>
  <mergeCells count="10">
    <mergeCell ref="H1:H24"/>
    <mergeCell ref="E9:F9"/>
    <mergeCell ref="E12:F12"/>
    <mergeCell ref="E6:F6"/>
    <mergeCell ref="C10:D10"/>
    <mergeCell ref="E11:F11"/>
    <mergeCell ref="A1:F3"/>
    <mergeCell ref="E5:F5"/>
    <mergeCell ref="A4:F4"/>
    <mergeCell ref="C9:D9"/>
  </mergeCells>
  <printOptions horizontalCentered="1" verticalCentered="1"/>
  <pageMargins left="0.51181102362204722" right="0.51181102362204722" top="0.19685039370078741" bottom="0.39370078740157483" header="0.31496062992125984" footer="0.31496062992125984"/>
  <pageSetup paperSize="9" scale="96" orientation="landscape" r:id="rId1"/>
  <headerFooter>
    <oddFooter>&amp;R&amp;G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7"/>
  <sheetViews>
    <sheetView showGridLines="0" view="pageBreakPreview" zoomScale="85" zoomScaleNormal="100" zoomScaleSheetLayoutView="85" workbookViewId="0">
      <selection activeCell="C6" sqref="C6"/>
    </sheetView>
  </sheetViews>
  <sheetFormatPr defaultRowHeight="14.4"/>
  <cols>
    <col min="1" max="1" width="21.88671875" customWidth="1"/>
    <col min="2" max="2" width="25.88671875" customWidth="1"/>
    <col min="3" max="3" width="23.33203125" bestFit="1" customWidth="1"/>
    <col min="4" max="4" width="8.6640625" style="136" hidden="1" customWidth="1"/>
    <col min="5" max="5" width="23.33203125" bestFit="1" customWidth="1"/>
    <col min="6" max="6" width="11.88671875" customWidth="1"/>
    <col min="7" max="7" width="19.109375" customWidth="1"/>
    <col min="8" max="8" width="1.33203125" customWidth="1"/>
    <col min="13" max="13" width="18" bestFit="1" customWidth="1"/>
  </cols>
  <sheetData>
    <row r="1" spans="1:9" ht="15" customHeight="1">
      <c r="A1" s="243">
        <f>CAPA!C26</f>
        <v>0</v>
      </c>
      <c r="B1" s="226"/>
      <c r="C1" s="226"/>
      <c r="D1" s="255"/>
      <c r="E1" s="226"/>
      <c r="F1" s="226"/>
      <c r="G1" s="226"/>
      <c r="I1" s="256"/>
    </row>
    <row r="2" spans="1:9" ht="21.75" customHeight="1">
      <c r="A2" s="226"/>
      <c r="B2" s="226"/>
      <c r="C2" s="226"/>
      <c r="D2" s="255"/>
      <c r="E2" s="226"/>
      <c r="F2" s="226"/>
      <c r="G2" s="226"/>
      <c r="I2" s="257"/>
    </row>
    <row r="3" spans="1:9" ht="27" customHeight="1" thickBot="1">
      <c r="A3" s="230"/>
      <c r="B3" s="230"/>
      <c r="C3" s="230"/>
      <c r="D3" s="230"/>
      <c r="E3" s="230"/>
      <c r="F3" s="230"/>
      <c r="G3" s="230"/>
      <c r="I3" s="257"/>
    </row>
    <row r="4" spans="1:9" ht="21.6" customHeight="1" thickBot="1">
      <c r="A4" s="241" t="s">
        <v>102</v>
      </c>
      <c r="B4" s="202"/>
      <c r="C4" s="202"/>
      <c r="D4" s="202"/>
      <c r="E4" s="202"/>
      <c r="F4" s="202"/>
      <c r="G4" s="203"/>
      <c r="I4" s="257"/>
    </row>
    <row r="5" spans="1:9" ht="21.75" customHeight="1" thickBot="1">
      <c r="A5" s="241" t="s">
        <v>103</v>
      </c>
      <c r="B5" s="203"/>
      <c r="C5" s="137"/>
      <c r="D5" s="137"/>
      <c r="E5" s="241" t="s">
        <v>103</v>
      </c>
      <c r="F5" s="203"/>
      <c r="G5" s="137"/>
      <c r="I5" s="257"/>
    </row>
    <row r="6" spans="1:9" s="124" customFormat="1" ht="21.6" customHeight="1" thickBot="1">
      <c r="A6" s="76" t="s">
        <v>147</v>
      </c>
      <c r="B6" s="119" t="s">
        <v>104</v>
      </c>
      <c r="C6" s="120" t="s">
        <v>105</v>
      </c>
      <c r="D6" s="121" t="s">
        <v>90</v>
      </c>
      <c r="E6" s="120" t="s">
        <v>105</v>
      </c>
      <c r="F6" s="122" t="s">
        <v>106</v>
      </c>
      <c r="G6" s="123" t="s">
        <v>107</v>
      </c>
      <c r="I6" s="257"/>
    </row>
    <row r="7" spans="1:9" s="124" customFormat="1" ht="21.6" customHeight="1" thickBot="1">
      <c r="A7" s="125"/>
      <c r="B7" s="126"/>
      <c r="C7" s="127"/>
      <c r="D7" s="126"/>
      <c r="E7" s="128"/>
      <c r="F7" s="128"/>
      <c r="G7" s="129"/>
      <c r="I7" s="257"/>
    </row>
    <row r="8" spans="1:9" s="124" customFormat="1" ht="21" customHeight="1" thickBot="1">
      <c r="A8" s="125"/>
      <c r="B8" s="126"/>
      <c r="C8" s="127"/>
      <c r="D8" s="126"/>
      <c r="E8" s="128"/>
      <c r="F8" s="128"/>
      <c r="G8" s="129"/>
      <c r="I8" s="257"/>
    </row>
    <row r="9" spans="1:9" s="124" customFormat="1" ht="21" customHeight="1" thickBot="1">
      <c r="A9" s="125"/>
      <c r="B9" s="126"/>
      <c r="C9" s="127"/>
      <c r="D9" s="126"/>
      <c r="E9" s="128"/>
      <c r="F9" s="128"/>
      <c r="G9" s="129"/>
      <c r="I9" s="257"/>
    </row>
    <row r="10" spans="1:9" s="124" customFormat="1" ht="21" customHeight="1" thickBot="1">
      <c r="A10" s="125"/>
      <c r="B10" s="126"/>
      <c r="C10" s="127"/>
      <c r="D10" s="126"/>
      <c r="E10" s="128"/>
      <c r="F10" s="128"/>
      <c r="G10" s="129"/>
      <c r="I10" s="257"/>
    </row>
    <row r="11" spans="1:9" s="124" customFormat="1" ht="21" customHeight="1" thickBot="1">
      <c r="A11" s="125"/>
      <c r="B11" s="126"/>
      <c r="C11" s="127"/>
      <c r="D11" s="126"/>
      <c r="E11" s="128"/>
      <c r="F11" s="128"/>
      <c r="G11" s="129"/>
      <c r="I11" s="257"/>
    </row>
    <row r="12" spans="1:9" s="124" customFormat="1" ht="21" customHeight="1" thickBot="1">
      <c r="A12" s="125"/>
      <c r="B12" s="126"/>
      <c r="C12" s="127"/>
      <c r="D12" s="126"/>
      <c r="E12" s="128"/>
      <c r="F12" s="128"/>
      <c r="G12" s="129"/>
      <c r="I12" s="257"/>
    </row>
    <row r="13" spans="1:9" s="124" customFormat="1" ht="21" customHeight="1" thickBot="1">
      <c r="A13" s="125"/>
      <c r="B13" s="126"/>
      <c r="C13" s="127"/>
      <c r="D13" s="126"/>
      <c r="E13" s="128"/>
      <c r="F13" s="128"/>
      <c r="G13" s="129"/>
      <c r="I13" s="257"/>
    </row>
    <row r="14" spans="1:9" s="124" customFormat="1" ht="21" customHeight="1" thickBot="1">
      <c r="A14" s="125"/>
      <c r="B14" s="126"/>
      <c r="C14" s="127"/>
      <c r="D14" s="126"/>
      <c r="E14" s="128"/>
      <c r="F14" s="128"/>
      <c r="G14" s="129"/>
      <c r="I14" s="257"/>
    </row>
    <row r="15" spans="1:9" s="124" customFormat="1" ht="21" customHeight="1" thickBot="1">
      <c r="A15" s="125"/>
      <c r="B15" s="126"/>
      <c r="C15" s="127"/>
      <c r="D15" s="126"/>
      <c r="E15" s="128"/>
      <c r="F15" s="128"/>
      <c r="G15" s="129"/>
      <c r="I15" s="257"/>
    </row>
    <row r="16" spans="1:9" s="124" customFormat="1" ht="21" customHeight="1" thickBot="1">
      <c r="A16" s="125"/>
      <c r="B16" s="126"/>
      <c r="C16" s="127"/>
      <c r="D16" s="126"/>
      <c r="E16" s="128"/>
      <c r="F16" s="128"/>
      <c r="G16" s="129"/>
      <c r="I16" s="257"/>
    </row>
    <row r="17" spans="1:9" s="124" customFormat="1" ht="21" customHeight="1" thickBot="1">
      <c r="A17" s="125"/>
      <c r="B17" s="126"/>
      <c r="C17" s="127"/>
      <c r="D17" s="126"/>
      <c r="E17" s="128"/>
      <c r="F17" s="128"/>
      <c r="G17" s="129"/>
      <c r="I17" s="257"/>
    </row>
    <row r="18" spans="1:9" s="124" customFormat="1" ht="21" customHeight="1" thickBot="1">
      <c r="A18" s="125"/>
      <c r="B18" s="126"/>
      <c r="C18" s="127"/>
      <c r="D18" s="126"/>
      <c r="E18" s="128"/>
      <c r="F18" s="128"/>
      <c r="G18" s="129"/>
      <c r="I18" s="257"/>
    </row>
    <row r="19" spans="1:9" s="124" customFormat="1" ht="21" customHeight="1" thickBot="1">
      <c r="A19" s="125"/>
      <c r="B19" s="126"/>
      <c r="C19" s="127"/>
      <c r="D19" s="126"/>
      <c r="E19" s="128"/>
      <c r="F19" s="128"/>
      <c r="G19" s="129"/>
      <c r="I19" s="257"/>
    </row>
    <row r="20" spans="1:9" s="124" customFormat="1" ht="21" customHeight="1" thickBot="1">
      <c r="A20" s="125"/>
      <c r="B20" s="126"/>
      <c r="C20" s="127"/>
      <c r="D20" s="126"/>
      <c r="E20" s="128"/>
      <c r="F20" s="128"/>
      <c r="G20" s="129"/>
      <c r="I20" s="257"/>
    </row>
    <row r="21" spans="1:9" s="124" customFormat="1" ht="21" customHeight="1" thickBot="1">
      <c r="A21" s="125"/>
      <c r="B21" s="126"/>
      <c r="C21" s="127"/>
      <c r="D21" s="126"/>
      <c r="E21" s="128"/>
      <c r="F21" s="128"/>
      <c r="G21" s="129"/>
      <c r="I21" s="257"/>
    </row>
    <row r="22" spans="1:9" s="124" customFormat="1" ht="21" customHeight="1" thickBot="1">
      <c r="A22" s="125"/>
      <c r="B22" s="126"/>
      <c r="C22" s="127"/>
      <c r="D22" s="126"/>
      <c r="E22" s="128"/>
      <c r="F22" s="128"/>
      <c r="G22" s="129"/>
      <c r="I22" s="257"/>
    </row>
    <row r="23" spans="1:9" s="124" customFormat="1" ht="21" customHeight="1" thickBot="1">
      <c r="A23" s="125"/>
      <c r="B23" s="126"/>
      <c r="C23" s="127"/>
      <c r="D23" s="126"/>
      <c r="E23" s="128"/>
      <c r="F23" s="128"/>
      <c r="G23" s="129"/>
      <c r="I23" s="257"/>
    </row>
    <row r="24" spans="1:9" s="124" customFormat="1" ht="21" customHeight="1" thickBot="1">
      <c r="A24" s="125"/>
      <c r="B24" s="126"/>
      <c r="C24" s="127"/>
      <c r="D24" s="126"/>
      <c r="E24" s="128"/>
      <c r="F24" s="128"/>
      <c r="G24" s="129"/>
      <c r="I24" s="257"/>
    </row>
    <row r="25" spans="1:9" s="124" customFormat="1" ht="21" customHeight="1" thickBot="1">
      <c r="A25" s="125"/>
      <c r="B25" s="126"/>
      <c r="C25" s="127"/>
      <c r="D25" s="126"/>
      <c r="E25" s="128"/>
      <c r="F25" s="128"/>
      <c r="G25" s="129"/>
      <c r="I25" s="257"/>
    </row>
    <row r="26" spans="1:9" s="124" customFormat="1" ht="21" customHeight="1">
      <c r="A26" s="125"/>
      <c r="B26" s="126"/>
      <c r="C26" s="127"/>
      <c r="D26" s="126"/>
      <c r="E26" s="128"/>
      <c r="F26" s="128"/>
      <c r="G26" s="129"/>
      <c r="I26" s="257"/>
    </row>
    <row r="27" spans="1:9" s="124" customFormat="1" ht="21.6" customHeight="1" thickBot="1">
      <c r="A27" s="130" t="s">
        <v>61</v>
      </c>
      <c r="B27" s="131"/>
      <c r="C27" s="132">
        <f>SUM(C7:C8)</f>
        <v>0</v>
      </c>
      <c r="D27" s="133"/>
      <c r="E27" s="134"/>
      <c r="F27" s="135"/>
      <c r="G27" s="132"/>
      <c r="I27" s="257"/>
    </row>
  </sheetData>
  <mergeCells count="5">
    <mergeCell ref="A1:G3"/>
    <mergeCell ref="A5:B5"/>
    <mergeCell ref="A4:G4"/>
    <mergeCell ref="I1:I27"/>
    <mergeCell ref="E5:F5"/>
  </mergeCells>
  <printOptions horizontalCentered="1" verticalCentered="1"/>
  <pageMargins left="0.31496062992125984" right="0.31496062992125984" top="0.19685039370078741" bottom="0.39370078740157483" header="0.31496062992125984" footer="0.31496062992125984"/>
  <pageSetup paperSize="9" scale="64" orientation="landscape" r:id="rId1"/>
  <headerFooter>
    <oddFooter>&amp;R&amp;G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FB7B-EB59-49D9-AB70-ED96DDBD3153}">
  <sheetPr>
    <tabColor theme="1"/>
  </sheetPr>
  <dimension ref="A1:H22"/>
  <sheetViews>
    <sheetView showGridLines="0" view="pageBreakPreview" zoomScaleNormal="100" zoomScaleSheetLayoutView="100" workbookViewId="0">
      <selection activeCell="B6" sqref="B6:C22"/>
    </sheetView>
  </sheetViews>
  <sheetFormatPr defaultRowHeight="14.4"/>
  <cols>
    <col min="1" max="1" width="28.33203125" customWidth="1"/>
    <col min="2" max="2" width="31.6640625" customWidth="1"/>
    <col min="3" max="3" width="30.109375" customWidth="1"/>
    <col min="4" max="4" width="1.5546875" customWidth="1"/>
    <col min="7" max="7" width="15.5546875" bestFit="1" customWidth="1"/>
    <col min="8" max="8" width="14" bestFit="1" customWidth="1"/>
  </cols>
  <sheetData>
    <row r="1" spans="1:8" ht="16.2" customHeight="1">
      <c r="A1" s="258">
        <f>CAPA!C26</f>
        <v>0</v>
      </c>
      <c r="B1" s="258"/>
      <c r="C1" s="258"/>
      <c r="D1" s="72"/>
      <c r="E1" s="234"/>
      <c r="F1" s="156"/>
      <c r="G1" s="156"/>
    </row>
    <row r="2" spans="1:8" ht="16.2" customHeight="1">
      <c r="A2" s="258"/>
      <c r="B2" s="258"/>
      <c r="C2" s="258"/>
      <c r="D2" s="72"/>
      <c r="E2" s="234"/>
      <c r="F2" s="156"/>
      <c r="G2" s="156"/>
    </row>
    <row r="3" spans="1:8" ht="16.2" customHeight="1" thickBot="1">
      <c r="A3" s="259"/>
      <c r="B3" s="259"/>
      <c r="C3" s="259"/>
      <c r="D3" s="138"/>
      <c r="E3" s="234"/>
      <c r="F3" s="157"/>
      <c r="G3" s="157"/>
    </row>
    <row r="4" spans="1:8" ht="21.6" customHeight="1" thickBot="1">
      <c r="A4" s="260" t="s">
        <v>124</v>
      </c>
      <c r="B4" s="261"/>
      <c r="C4" s="176">
        <v>45979</v>
      </c>
      <c r="E4" s="234"/>
    </row>
    <row r="5" spans="1:8" ht="21.6" thickBot="1">
      <c r="A5" s="158" t="s">
        <v>125</v>
      </c>
      <c r="B5" s="158" t="s">
        <v>122</v>
      </c>
      <c r="C5" s="158" t="s">
        <v>123</v>
      </c>
      <c r="E5" s="234"/>
    </row>
    <row r="6" spans="1:8" ht="18.600000000000001" thickBot="1">
      <c r="A6" s="159" t="s">
        <v>126</v>
      </c>
      <c r="B6" s="160"/>
      <c r="C6" s="160"/>
      <c r="E6" s="234"/>
    </row>
    <row r="7" spans="1:8" ht="18.600000000000001" thickBot="1">
      <c r="A7" s="161" t="s">
        <v>127</v>
      </c>
      <c r="B7" s="162"/>
      <c r="C7" s="162"/>
      <c r="E7" s="234"/>
    </row>
    <row r="8" spans="1:8" s="165" customFormat="1" ht="18.600000000000001" thickBot="1">
      <c r="A8" s="163" t="s">
        <v>128</v>
      </c>
      <c r="B8" s="164"/>
      <c r="C8" s="164"/>
      <c r="E8" s="234"/>
    </row>
    <row r="9" spans="1:8" s="165" customFormat="1" ht="18.600000000000001" thickBot="1">
      <c r="A9" s="163" t="s">
        <v>129</v>
      </c>
      <c r="B9" s="164"/>
      <c r="C9" s="164"/>
      <c r="E9" s="234"/>
      <c r="G9" s="166"/>
    </row>
    <row r="10" spans="1:8" s="169" customFormat="1" ht="18.600000000000001" thickBot="1">
      <c r="A10" s="167" t="s">
        <v>130</v>
      </c>
      <c r="B10" s="168"/>
      <c r="C10" s="168"/>
      <c r="E10" s="234"/>
    </row>
    <row r="11" spans="1:8" ht="18.600000000000001" thickBot="1">
      <c r="A11" s="161" t="s">
        <v>131</v>
      </c>
      <c r="B11" s="162"/>
      <c r="C11" s="162"/>
      <c r="E11" s="234"/>
    </row>
    <row r="12" spans="1:8" ht="18.600000000000001" thickBot="1">
      <c r="A12" s="161" t="s">
        <v>132</v>
      </c>
      <c r="B12" s="170"/>
      <c r="C12" s="170"/>
      <c r="E12" s="234"/>
    </row>
    <row r="13" spans="1:8" s="165" customFormat="1" ht="18.600000000000001" thickBot="1">
      <c r="A13" s="163" t="s">
        <v>133</v>
      </c>
      <c r="B13" s="177"/>
      <c r="C13" s="177"/>
      <c r="E13" s="234"/>
      <c r="H13" s="171"/>
    </row>
    <row r="14" spans="1:8" ht="18.600000000000001" thickBot="1">
      <c r="A14" s="159" t="s">
        <v>134</v>
      </c>
      <c r="B14" s="172"/>
      <c r="C14" s="172"/>
      <c r="E14" s="234"/>
    </row>
    <row r="15" spans="1:8" ht="18.600000000000001" thickBot="1">
      <c r="A15" s="159" t="s">
        <v>135</v>
      </c>
      <c r="B15" s="172"/>
      <c r="C15" s="172"/>
      <c r="E15" s="234"/>
    </row>
    <row r="16" spans="1:8" ht="18.600000000000001" thickBot="1">
      <c r="A16" s="159" t="s">
        <v>136</v>
      </c>
      <c r="B16" s="172"/>
      <c r="C16" s="172"/>
      <c r="E16" s="234"/>
    </row>
    <row r="17" spans="1:8" ht="18.600000000000001" thickBot="1">
      <c r="A17" s="159" t="s">
        <v>137</v>
      </c>
      <c r="B17" s="172"/>
      <c r="C17" s="172"/>
      <c r="E17" s="234"/>
    </row>
    <row r="18" spans="1:8" ht="18.600000000000001" thickBot="1">
      <c r="A18" s="159" t="s">
        <v>138</v>
      </c>
      <c r="B18" s="178"/>
      <c r="C18" s="178"/>
      <c r="E18" s="234"/>
    </row>
    <row r="19" spans="1:8" ht="18.600000000000001" thickBot="1">
      <c r="A19" s="159" t="s">
        <v>139</v>
      </c>
      <c r="B19" s="173"/>
      <c r="C19" s="173"/>
      <c r="E19" s="234"/>
    </row>
    <row r="20" spans="1:8" ht="18.600000000000001" thickBot="1">
      <c r="A20" s="167" t="s">
        <v>140</v>
      </c>
      <c r="B20" s="64"/>
      <c r="C20" s="64"/>
      <c r="E20" s="234"/>
      <c r="H20" s="174"/>
    </row>
    <row r="21" spans="1:8" ht="18.600000000000001" thickBot="1">
      <c r="A21" s="167" t="s">
        <v>141</v>
      </c>
      <c r="B21" s="175"/>
      <c r="C21" s="175"/>
      <c r="E21" s="234"/>
    </row>
    <row r="22" spans="1:8" ht="18.600000000000001" thickBot="1">
      <c r="A22" s="159" t="s">
        <v>142</v>
      </c>
      <c r="B22" s="173"/>
      <c r="C22" s="173"/>
      <c r="E22" s="234"/>
    </row>
  </sheetData>
  <mergeCells count="3">
    <mergeCell ref="A1:C3"/>
    <mergeCell ref="E1:E22"/>
    <mergeCell ref="A4:B4"/>
  </mergeCells>
  <printOptions horizontalCentered="1" verticalCentered="1"/>
  <pageMargins left="0.51181102362204722" right="0.51181102362204722" top="0.19685039370078741" bottom="0.39370078740157483" header="0.31496062992125984" footer="0.31496062992125984"/>
  <pageSetup paperSize="9" scale="77" orientation="landscape" r:id="rId1"/>
  <headerFooter>
    <oddFooter>&amp;R&amp;G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"/>
  <sheetViews>
    <sheetView showGridLines="0" zoomScaleNormal="100" workbookViewId="0">
      <selection activeCell="A5" sqref="A5:A14"/>
    </sheetView>
  </sheetViews>
  <sheetFormatPr defaultRowHeight="14.4"/>
  <cols>
    <col min="1" max="1" width="117.33203125" customWidth="1"/>
    <col min="2" max="2" width="1.5546875" customWidth="1"/>
  </cols>
  <sheetData>
    <row r="1" spans="1:4" ht="15" customHeight="1">
      <c r="A1" s="227">
        <f>CAPA!C26</f>
        <v>0</v>
      </c>
      <c r="B1" s="72"/>
      <c r="C1" s="234"/>
      <c r="D1" s="72"/>
    </row>
    <row r="2" spans="1:4" ht="18" customHeight="1">
      <c r="A2" s="226"/>
      <c r="B2" s="72"/>
      <c r="C2" s="226"/>
      <c r="D2" s="72"/>
    </row>
    <row r="3" spans="1:4" ht="21.75" customHeight="1" thickBot="1">
      <c r="A3" s="228"/>
      <c r="B3" s="138"/>
      <c r="C3" s="226"/>
      <c r="D3" s="138"/>
    </row>
    <row r="4" spans="1:4" ht="15.75" customHeight="1" thickBot="1">
      <c r="A4" s="139" t="s">
        <v>146</v>
      </c>
      <c r="B4" s="140"/>
      <c r="C4" s="226"/>
    </row>
    <row r="5" spans="1:4" ht="14.4" customHeight="1">
      <c r="A5" s="262" t="s">
        <v>145</v>
      </c>
      <c r="C5" s="226"/>
    </row>
    <row r="6" spans="1:4" ht="14.4" customHeight="1">
      <c r="A6" s="263"/>
      <c r="C6" s="226"/>
    </row>
    <row r="7" spans="1:4" ht="14.4" customHeight="1">
      <c r="A7" s="263"/>
      <c r="C7" s="226"/>
    </row>
    <row r="8" spans="1:4" ht="14.4" customHeight="1">
      <c r="A8" s="263"/>
      <c r="C8" s="226"/>
    </row>
    <row r="9" spans="1:4" ht="14.4" customHeight="1">
      <c r="A9" s="263"/>
      <c r="C9" s="226"/>
    </row>
    <row r="10" spans="1:4" ht="14.4" customHeight="1">
      <c r="A10" s="263"/>
      <c r="C10" s="226"/>
    </row>
    <row r="11" spans="1:4" ht="14.4" customHeight="1">
      <c r="A11" s="263"/>
      <c r="C11" s="226"/>
    </row>
    <row r="12" spans="1:4">
      <c r="A12" s="263"/>
      <c r="C12" s="226"/>
    </row>
    <row r="13" spans="1:4">
      <c r="A13" s="263"/>
      <c r="C13" s="226"/>
    </row>
    <row r="14" spans="1:4">
      <c r="A14" s="263"/>
      <c r="C14" s="226"/>
    </row>
  </sheetData>
  <mergeCells count="3">
    <mergeCell ref="A1:A3"/>
    <mergeCell ref="C1:C14"/>
    <mergeCell ref="A5:A14"/>
  </mergeCells>
  <printOptions horizontalCentered="1" verticalCentered="1"/>
  <pageMargins left="0.51181102362204722" right="0.51181102362204722" top="0.19685039370078741" bottom="0.39370078740157483" header="0.31496062992125984" footer="0.31496062992125984"/>
  <pageSetup paperSize="9" orientation="landscape" r:id="rId1"/>
  <headerFooter>
    <oddFooter>&amp;R&amp;G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B6C9-6D19-4EA8-9DD3-CB65A218FF81}">
  <dimension ref="A1:D27"/>
  <sheetViews>
    <sheetView showGridLines="0" zoomScaleNormal="100" workbookViewId="0">
      <selection activeCell="I22" sqref="I22"/>
    </sheetView>
  </sheetViews>
  <sheetFormatPr defaultRowHeight="14.4"/>
  <cols>
    <col min="1" max="1" width="117.33203125" customWidth="1"/>
    <col min="2" max="2" width="1.5546875" customWidth="1"/>
  </cols>
  <sheetData>
    <row r="1" spans="1:4" ht="15" customHeight="1" thickBot="1">
      <c r="A1" s="227">
        <f>CAPA!C26</f>
        <v>0</v>
      </c>
      <c r="B1" s="72"/>
      <c r="C1" s="234"/>
      <c r="D1" s="72"/>
    </row>
    <row r="2" spans="1:4" ht="18" customHeight="1">
      <c r="A2" s="226"/>
      <c r="B2" s="72"/>
      <c r="C2" s="226"/>
      <c r="D2" s="72"/>
    </row>
    <row r="3" spans="1:4" ht="21.75" customHeight="1" thickBot="1">
      <c r="A3" s="228"/>
      <c r="B3" s="138"/>
      <c r="C3" s="226"/>
      <c r="D3" s="138"/>
    </row>
    <row r="4" spans="1:4" ht="15.75" customHeight="1" thickBot="1">
      <c r="A4" s="139" t="s">
        <v>146</v>
      </c>
      <c r="B4" s="140"/>
      <c r="C4" s="226"/>
    </row>
    <row r="5" spans="1:4" ht="14.4" customHeight="1">
      <c r="A5" s="179"/>
      <c r="C5" s="226"/>
    </row>
    <row r="6" spans="1:4" ht="14.4" customHeight="1">
      <c r="A6" s="180"/>
      <c r="C6" s="226"/>
    </row>
    <row r="7" spans="1:4" ht="14.4" customHeight="1">
      <c r="A7" s="180"/>
      <c r="C7" s="226"/>
    </row>
    <row r="8" spans="1:4" ht="14.4" customHeight="1">
      <c r="A8" s="180"/>
      <c r="C8" s="226"/>
    </row>
    <row r="9" spans="1:4" ht="14.4" customHeight="1">
      <c r="A9" s="180"/>
      <c r="C9" s="226"/>
    </row>
    <row r="10" spans="1:4" ht="14.4" customHeight="1">
      <c r="A10" s="180"/>
      <c r="C10" s="226"/>
    </row>
    <row r="11" spans="1:4" ht="14.4" customHeight="1">
      <c r="A11" s="180"/>
      <c r="C11" s="226"/>
    </row>
    <row r="12" spans="1:4" ht="14.4" customHeight="1">
      <c r="A12" s="180"/>
      <c r="C12" s="226"/>
    </row>
    <row r="13" spans="1:4" ht="14.4" customHeight="1">
      <c r="A13" s="180"/>
      <c r="C13" s="226"/>
    </row>
    <row r="14" spans="1:4" ht="14.4" customHeight="1">
      <c r="A14" s="180"/>
      <c r="C14" s="226"/>
    </row>
    <row r="15" spans="1:4" ht="14.4" customHeight="1">
      <c r="A15" s="180"/>
      <c r="C15" s="226"/>
    </row>
    <row r="16" spans="1:4" ht="14.4" customHeight="1">
      <c r="A16" s="180"/>
      <c r="C16" s="226"/>
    </row>
    <row r="17" spans="1:3" ht="14.4" customHeight="1">
      <c r="A17" s="180"/>
      <c r="C17" s="226"/>
    </row>
    <row r="18" spans="1:3" ht="14.4" customHeight="1">
      <c r="A18" s="180"/>
      <c r="C18" s="226"/>
    </row>
    <row r="19" spans="1:3" ht="14.4" customHeight="1">
      <c r="A19" s="180"/>
      <c r="C19" s="226"/>
    </row>
    <row r="20" spans="1:3" ht="14.4" customHeight="1">
      <c r="A20" s="180"/>
      <c r="C20" s="226"/>
    </row>
    <row r="21" spans="1:3" ht="14.4" customHeight="1">
      <c r="A21" s="180"/>
      <c r="C21" s="226"/>
    </row>
    <row r="22" spans="1:3" ht="14.4" customHeight="1">
      <c r="A22" s="180"/>
      <c r="C22" s="226"/>
    </row>
    <row r="23" spans="1:3" ht="14.4" customHeight="1">
      <c r="A23" s="180"/>
      <c r="C23" s="226"/>
    </row>
    <row r="24" spans="1:3" ht="14.4" customHeight="1">
      <c r="A24" s="180"/>
      <c r="C24" s="226"/>
    </row>
    <row r="25" spans="1:3" ht="14.4" customHeight="1">
      <c r="A25" s="180"/>
      <c r="C25" s="226"/>
    </row>
    <row r="26" spans="1:3" ht="14.4" customHeight="1">
      <c r="A26" s="180"/>
      <c r="C26" s="226"/>
    </row>
    <row r="27" spans="1:3" ht="14.4" customHeight="1">
      <c r="A27" s="180"/>
      <c r="C27" s="226"/>
    </row>
  </sheetData>
  <mergeCells count="2">
    <mergeCell ref="A1:A3"/>
    <mergeCell ref="C1:C27"/>
  </mergeCells>
  <printOptions horizontalCentered="1" verticalCentered="1"/>
  <pageMargins left="0.51181102362204722" right="0.51181102362204722" top="0.19685039370078741" bottom="0.39370078740157483" header="0.31496062992125984" footer="0.31496062992125984"/>
  <pageSetup paperSize="9" orientation="landscape" r:id="rId1"/>
  <headerFooter>
    <oddFooter>&amp;R&amp;G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C24"/>
  <sheetViews>
    <sheetView showGridLines="0" zoomScaleNormal="100" workbookViewId="0">
      <selection activeCell="G7" sqref="G7"/>
    </sheetView>
  </sheetViews>
  <sheetFormatPr defaultRowHeight="14.4"/>
  <cols>
    <col min="1" max="1" width="117.33203125" customWidth="1"/>
    <col min="2" max="2" width="1.5546875" customWidth="1"/>
  </cols>
  <sheetData>
    <row r="1" spans="1:3" ht="13.8" customHeight="1" thickBot="1">
      <c r="A1" s="243">
        <f>CAPA!C26</f>
        <v>0</v>
      </c>
      <c r="C1" s="225"/>
    </row>
    <row r="2" spans="1:3" ht="13.8" customHeight="1">
      <c r="A2" s="226"/>
      <c r="C2" s="225"/>
    </row>
    <row r="3" spans="1:3" ht="13.8" customHeight="1" thickBot="1">
      <c r="A3" s="230"/>
      <c r="C3" s="225"/>
    </row>
    <row r="4" spans="1:3" ht="21.6" customHeight="1" thickBot="1">
      <c r="A4" s="182" t="s">
        <v>108</v>
      </c>
      <c r="C4" s="225"/>
    </row>
    <row r="5" spans="1:3" ht="21.6" customHeight="1" thickBot="1">
      <c r="A5" s="141"/>
      <c r="C5" s="225"/>
    </row>
    <row r="6" spans="1:3" ht="21.6" customHeight="1" thickBot="1">
      <c r="A6" s="141"/>
      <c r="C6" s="225"/>
    </row>
    <row r="7" spans="1:3" ht="21.6" customHeight="1" thickBot="1">
      <c r="A7" s="141"/>
      <c r="C7" s="225"/>
    </row>
    <row r="8" spans="1:3" ht="21.6" customHeight="1" thickBot="1">
      <c r="A8" s="141"/>
      <c r="C8" s="225"/>
    </row>
    <row r="9" spans="1:3" ht="21.6" customHeight="1" thickBot="1">
      <c r="A9" s="141"/>
      <c r="C9" s="225"/>
    </row>
    <row r="10" spans="1:3" ht="21.6" customHeight="1" thickBot="1">
      <c r="A10" s="141"/>
      <c r="C10" s="225"/>
    </row>
    <row r="11" spans="1:3" ht="21.6" customHeight="1" thickBot="1">
      <c r="A11" s="141"/>
      <c r="C11" s="225"/>
    </row>
    <row r="12" spans="1:3" ht="21.6" customHeight="1" thickBot="1">
      <c r="A12" s="141"/>
      <c r="C12" s="225"/>
    </row>
    <row r="13" spans="1:3" ht="21.6" customHeight="1" thickBot="1">
      <c r="A13" s="141"/>
      <c r="C13" s="225"/>
    </row>
    <row r="14" spans="1:3" ht="21.6" customHeight="1" thickBot="1">
      <c r="A14" s="141"/>
      <c r="C14" s="225"/>
    </row>
    <row r="15" spans="1:3" ht="21.6" customHeight="1" thickBot="1">
      <c r="A15" s="141"/>
      <c r="C15" s="225"/>
    </row>
    <row r="16" spans="1:3" ht="21.6" customHeight="1" thickBot="1">
      <c r="A16" s="141"/>
      <c r="C16" s="225"/>
    </row>
    <row r="17" spans="1:3" ht="21.6" customHeight="1" thickBot="1">
      <c r="A17" s="141"/>
      <c r="C17" s="225"/>
    </row>
    <row r="18" spans="1:3" ht="21.6" customHeight="1" thickBot="1">
      <c r="A18" s="141"/>
      <c r="C18" s="225"/>
    </row>
    <row r="19" spans="1:3" ht="21.6" customHeight="1" thickBot="1">
      <c r="A19" s="141"/>
      <c r="C19" s="225"/>
    </row>
    <row r="20" spans="1:3" ht="21.6" customHeight="1" thickBot="1">
      <c r="A20" s="141"/>
      <c r="C20" s="225"/>
    </row>
    <row r="21" spans="1:3" ht="21.6" customHeight="1" thickBot="1">
      <c r="A21" s="141"/>
      <c r="C21" s="225"/>
    </row>
    <row r="22" spans="1:3" ht="21.6" customHeight="1" thickBot="1">
      <c r="A22" s="141"/>
      <c r="C22" s="225"/>
    </row>
    <row r="23" spans="1:3" ht="21.6" customHeight="1" thickBot="1">
      <c r="A23" s="141"/>
      <c r="C23" s="225"/>
    </row>
    <row r="24" spans="1:3" ht="21.6" thickBot="1">
      <c r="A24" s="141"/>
      <c r="C24" s="225"/>
    </row>
  </sheetData>
  <mergeCells count="2">
    <mergeCell ref="A1:A3"/>
    <mergeCell ref="C1:C24"/>
  </mergeCells>
  <printOptions horizontalCentered="1" verticalCentered="1"/>
  <pageMargins left="0.51181102362204722" right="0.51181102362204722" top="0.19685039370078741" bottom="0.39370078740157483" header="0.31496062992125984" footer="0.31496062992125984"/>
  <pageSetup paperSize="9" orientation="landscape" r:id="rId1"/>
  <headerFooter>
    <oddFooter>&amp;R&amp;G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12"/>
  <sheetViews>
    <sheetView showGridLines="0" tabSelected="1" zoomScale="85" zoomScaleNormal="85" workbookViewId="0">
      <selection activeCell="A10" sqref="A10"/>
    </sheetView>
  </sheetViews>
  <sheetFormatPr defaultRowHeight="14.4"/>
  <cols>
    <col min="1" max="1" width="55.88671875" customWidth="1"/>
    <col min="2" max="2" width="63" customWidth="1"/>
    <col min="3" max="3" width="1.6640625" customWidth="1"/>
  </cols>
  <sheetData>
    <row r="1" spans="1:4" ht="18" customHeight="1" thickBot="1">
      <c r="A1" s="227">
        <f>CAPA!C26</f>
        <v>0</v>
      </c>
      <c r="B1" s="226"/>
      <c r="D1" s="225"/>
    </row>
    <row r="2" spans="1:4" ht="18" customHeight="1">
      <c r="A2" s="226"/>
      <c r="B2" s="226"/>
      <c r="D2" s="225"/>
    </row>
    <row r="3" spans="1:4" ht="18" customHeight="1" thickBot="1">
      <c r="A3" s="228"/>
      <c r="B3" s="228"/>
      <c r="D3" s="225"/>
    </row>
    <row r="4" spans="1:4" ht="26.25" customHeight="1" thickBot="1">
      <c r="A4" s="142" t="s">
        <v>109</v>
      </c>
      <c r="B4" s="143" t="s">
        <v>110</v>
      </c>
      <c r="D4" s="225"/>
    </row>
    <row r="5" spans="1:4" ht="22.2" customHeight="1" thickTop="1" thickBot="1">
      <c r="A5" s="144" t="s">
        <v>111</v>
      </c>
      <c r="B5" s="145" t="s">
        <v>8</v>
      </c>
      <c r="D5" s="225"/>
    </row>
    <row r="6" spans="1:4" ht="6" customHeight="1" thickBot="1">
      <c r="A6" s="146"/>
      <c r="B6" s="147"/>
      <c r="D6" s="225"/>
    </row>
    <row r="7" spans="1:4" ht="222.6" customHeight="1" thickBot="1">
      <c r="A7" s="266"/>
      <c r="B7" s="267"/>
      <c r="D7" s="225"/>
    </row>
    <row r="8" spans="1:4" ht="7.2" customHeight="1" thickBot="1">
      <c r="A8" s="270"/>
      <c r="B8" s="267"/>
      <c r="D8" s="225"/>
    </row>
    <row r="9" spans="1:4" ht="21.6" customHeight="1" thickBot="1">
      <c r="A9" s="268" t="s">
        <v>148</v>
      </c>
      <c r="B9" s="269"/>
      <c r="D9" s="225"/>
    </row>
    <row r="10" spans="1:4" ht="15" thickBot="1">
      <c r="D10" s="225"/>
    </row>
    <row r="11" spans="1:4" ht="22.2" thickTop="1" thickBot="1">
      <c r="A11" s="264" t="s">
        <v>9</v>
      </c>
      <c r="B11" s="265"/>
      <c r="D11" s="225"/>
    </row>
    <row r="12" spans="1:4" ht="21.6" thickBot="1">
      <c r="A12" s="11" cm="1">
        <f t="array" ref="A12:B12">PROPOSTA!A14:B14</f>
        <v>0</v>
      </c>
      <c r="B12" s="11">
        <v>0</v>
      </c>
      <c r="D12" s="225"/>
    </row>
  </sheetData>
  <mergeCells count="6">
    <mergeCell ref="A11:B11"/>
    <mergeCell ref="D1:D12"/>
    <mergeCell ref="A7:B7"/>
    <mergeCell ref="A9:B9"/>
    <mergeCell ref="A8:B8"/>
    <mergeCell ref="A1:B3"/>
  </mergeCells>
  <printOptions horizontalCentered="1" verticalCentered="1"/>
  <pageMargins left="0.51181102362204722" right="0.51181102362204722" top="0.19685039370078741" bottom="0.39370078740157483" header="0.31496062992125984" footer="0.31496062992125984"/>
  <pageSetup paperSize="9" scale="86" orientation="landscape" r:id="rId1"/>
  <headerFooter>
    <oddFooter>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20</vt:i4>
      </vt:variant>
    </vt:vector>
  </HeadingPairs>
  <TitlesOfParts>
    <vt:vector size="40" baseType="lpstr">
      <vt:lpstr>CAPA</vt:lpstr>
      <vt:lpstr>RELATÓRIO DE VISITAS</vt:lpstr>
      <vt:lpstr>PROPOSTA</vt:lpstr>
      <vt:lpstr>DADOS EMPRESA</vt:lpstr>
      <vt:lpstr>FACHADA</vt:lpstr>
      <vt:lpstr>SATELITE</vt:lpstr>
      <vt:lpstr>FOTOS</vt:lpstr>
      <vt:lpstr>ORGANOGRAMA</vt:lpstr>
      <vt:lpstr>ESTRUTURA SOCIETÁRIA</vt:lpstr>
      <vt:lpstr>PATRIMONIO</vt:lpstr>
      <vt:lpstr>RESTRITIVOS</vt:lpstr>
      <vt:lpstr>FAT</vt:lpstr>
      <vt:lpstr>POTENCIAL</vt:lpstr>
      <vt:lpstr>ENDIV GERAL</vt:lpstr>
      <vt:lpstr>INSTITUIÇÕES</vt:lpstr>
      <vt:lpstr>REFS FUNDOS (4)</vt:lpstr>
      <vt:lpstr>JURIDICO (5)</vt:lpstr>
      <vt:lpstr>JURIDICO IA</vt:lpstr>
      <vt:lpstr>NOTICIAS</vt:lpstr>
      <vt:lpstr>PARECER</vt:lpstr>
      <vt:lpstr>CAPA!Area_de_impressao</vt:lpstr>
      <vt:lpstr>'DADOS EMPRESA'!Area_de_impressao</vt:lpstr>
      <vt:lpstr>'ENDIV GERAL'!Area_de_impressao</vt:lpstr>
      <vt:lpstr>'ESTRUTURA SOCIETÁRIA'!Area_de_impressao</vt:lpstr>
      <vt:lpstr>FACHADA!Area_de_impressao</vt:lpstr>
      <vt:lpstr>FAT!Area_de_impressao</vt:lpstr>
      <vt:lpstr>FOTOS!Area_de_impressao</vt:lpstr>
      <vt:lpstr>INSTITUIÇÕES!Area_de_impressao</vt:lpstr>
      <vt:lpstr>'JURIDICO (5)'!Area_de_impressao</vt:lpstr>
      <vt:lpstr>'JURIDICO IA'!Area_de_impressao</vt:lpstr>
      <vt:lpstr>NOTICIAS!Area_de_impressao</vt:lpstr>
      <vt:lpstr>ORGANOGRAMA!Area_de_impressao</vt:lpstr>
      <vt:lpstr>PARECER!Area_de_impressao</vt:lpstr>
      <vt:lpstr>PATRIMONIO!Area_de_impressao</vt:lpstr>
      <vt:lpstr>POTENCIAL!Area_de_impressao</vt:lpstr>
      <vt:lpstr>PROPOSTA!Area_de_impressao</vt:lpstr>
      <vt:lpstr>'REFS FUNDOS (4)'!Area_de_impressao</vt:lpstr>
      <vt:lpstr>'RELATÓRIO DE VISITAS'!Area_de_impressao</vt:lpstr>
      <vt:lpstr>RESTRITIVOS!Area_de_impressao</vt:lpstr>
      <vt:lpstr>SATELITE!Area_de_impressao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Alyson Christopher</dc:creator>
  <cp:lastModifiedBy>Alyson Tres</cp:lastModifiedBy>
  <cp:lastPrinted>2025-11-18T13:50:21Z</cp:lastPrinted>
  <dcterms:created xsi:type="dcterms:W3CDTF">2025-11-17T17:57:29Z</dcterms:created>
  <dcterms:modified xsi:type="dcterms:W3CDTF">2026-01-14T18:16:01Z</dcterms:modified>
</cp:coreProperties>
</file>